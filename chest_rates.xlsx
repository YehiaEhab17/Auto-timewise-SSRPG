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hant Stats" sheetId="1" r:id="rId5"/>
    <sheet state="visible" name="Chest Rates" sheetId="2" r:id="rId6"/>
  </sheets>
  <definedNames>
    <definedName localSheetId="1" name="ChestValueDeadwoodCanyon">'Chest Rates'!$B$65:$S$71</definedName>
    <definedName localSheetId="1" name="ChestDataCavesofFear">'Chest Rates'!$B$29:$G$39</definedName>
    <definedName localSheetId="1" name="ChestValueCavesofFear">'Chest Rates'!$B$74:$S$80</definedName>
    <definedName localSheetId="1" name="ClearsPerEnchantmentRockyPlateau">'Chest Rates'!$C$131:$S$151</definedName>
    <definedName localSheetId="1" name="ChestValueMushroomForest">'Chest Rates'!$B$83:$S$89</definedName>
    <definedName localSheetId="1" name="ChestValueIcyRidge">'Chest Rates'!$B$110:$S$116</definedName>
    <definedName localSheetId="1" name="ClearsPerEnchantmentCavesofFear">'Chest Rates'!$C$181:$S$201</definedName>
    <definedName localSheetId="1" name="ChestValueHauntedHalls">'Chest Rates'!$B$92:$S$98</definedName>
    <definedName localSheetId="1" name="ChestDataHauntedHalls">'Chest Rates'!$I$3:$N$13</definedName>
    <definedName localSheetId="1" name="ClearsPerEnchantmentTemple">'Chest Rates'!$C$306:$S$326</definedName>
    <definedName localSheetId="1" name="ClearsPerEnchantmentMushroomForest">'Chest Rates'!$C$206:$S$226</definedName>
    <definedName localSheetId="1" name="ChestDataIcyRidge">'Chest Rates'!$I$29:$N$39</definedName>
    <definedName localSheetId="1" name="ChestDataTemple">'Chest Rates'!$I$42:$N$52</definedName>
    <definedName localSheetId="1" name="ClearsPerEnchantmentHauntedHalls">'Chest Rates'!$C$231:$S$251</definedName>
    <definedName localSheetId="1" name="ChestValueBoilingMine">'Chest Rates'!$B$101:$S$107</definedName>
    <definedName localSheetId="1" name="ChestDataMushroomForest">'Chest Rates'!$B$42:$G$52</definedName>
    <definedName localSheetId="1" name="ClearsPerEnchantmentIcyRidge">'Chest Rates'!$C$281:$S$301</definedName>
    <definedName localSheetId="1" name="ClearsPerEnchantmentBoilingMine">'Chest Rates'!$C$256:$S$276</definedName>
    <definedName localSheetId="1" name="ChestDataBoilingMine">'Chest Rates'!$I$16:$N$26</definedName>
    <definedName localSheetId="1" name="ChestValueRockyPlateau">'Chest Rates'!$B$56:$S$62</definedName>
    <definedName localSheetId="1" name="ChestDataDeadwoodCanyon">'Chest Rates'!$B$16:$G$26</definedName>
    <definedName localSheetId="1" name="ClearsPerEnchantmentDeadwoodCanyon">'Chest Rates'!$C$156:$S$176</definedName>
    <definedName localSheetId="1" name="ChestValueTemple">'Chest Rates'!$B$119:$S$125</definedName>
    <definedName localSheetId="1" name="ChestDataRockyPlateau">'Chest Rates'!$B$3:$G$13</definedName>
  </definedNames>
  <calcPr/>
</workbook>
</file>

<file path=xl/sharedStrings.xml><?xml version="1.0" encoding="utf-8"?>
<sst xmlns="http://schemas.openxmlformats.org/spreadsheetml/2006/main" count="482" uniqueCount="71">
  <si>
    <t>Common</t>
  </si>
  <si>
    <t>Uncommon</t>
  </si>
  <si>
    <t>Rare</t>
  </si>
  <si>
    <t>Heroic</t>
  </si>
  <si>
    <t>Epic</t>
  </si>
  <si>
    <t>Legendary</t>
  </si>
  <si>
    <t>Transcendent</t>
  </si>
  <si>
    <t>· Humble ·</t>
  </si>
  <si>
    <t>o Common o</t>
  </si>
  <si>
    <t>8 Giant 8</t>
  </si>
  <si>
    <t>Ω Omega Ω</t>
  </si>
  <si>
    <t>Rocky Plateau Chest Data</t>
  </si>
  <si>
    <t>White</t>
  </si>
  <si>
    <t>Cyan</t>
  </si>
  <si>
    <t>Yellow</t>
  </si>
  <si>
    <t>Green</t>
  </si>
  <si>
    <t>Δ Delta Δ</t>
  </si>
  <si>
    <t>Haunted Halls Chest Data</t>
  </si>
  <si>
    <t>Skullnata</t>
  </si>
  <si>
    <t>Enchant Rank</t>
  </si>
  <si>
    <t>Emerald Egg</t>
  </si>
  <si>
    <t>Total Value</t>
  </si>
  <si>
    <t>Common mod</t>
  </si>
  <si>
    <t>Req. For Rank-up</t>
  </si>
  <si>
    <t>Giant mod</t>
  </si>
  <si>
    <t>Omega mod</t>
  </si>
  <si>
    <t>3x Equivalency</t>
  </si>
  <si>
    <t>+1</t>
  </si>
  <si>
    <t>+2</t>
  </si>
  <si>
    <t>+4</t>
  </si>
  <si>
    <t>Delta mod</t>
  </si>
  <si>
    <t>+7</t>
  </si>
  <si>
    <t>+11</t>
  </si>
  <si>
    <t>+16</t>
  </si>
  <si>
    <t>Emerald Egg mod</t>
  </si>
  <si>
    <t>Deadwood Canyon Chest Data</t>
  </si>
  <si>
    <t>Boiling Mine Chest Data</t>
  </si>
  <si>
    <t>Caves of Fear Chest Data</t>
  </si>
  <si>
    <t>Icy Ridge Chest Data</t>
  </si>
  <si>
    <t>Mushroom Forest Chest Data</t>
  </si>
  <si>
    <t>Temple Chest Data</t>
  </si>
  <si>
    <t>Rocky Plateau</t>
  </si>
  <si>
    <t>Star Level</t>
  </si>
  <si>
    <t>Chest Enchant Value Averages</t>
  </si>
  <si>
    <t>Average Value per Clear</t>
  </si>
  <si>
    <t>Deadwood Canyon</t>
  </si>
  <si>
    <t>Caves of Fear</t>
  </si>
  <si>
    <t>Mushroom Forest</t>
  </si>
  <si>
    <t>Haunted Halls</t>
  </si>
  <si>
    <t>Boiling Mine</t>
  </si>
  <si>
    <t>Icy Ridge</t>
  </si>
  <si>
    <t>Temple</t>
  </si>
  <si>
    <t>Clears Needed to Achieve</t>
  </si>
  <si>
    <t>Cyan Drop rates by Stars</t>
  </si>
  <si>
    <t>Yellow Drop rates by Stars</t>
  </si>
  <si>
    <t>Green Drop rates by Stars</t>
  </si>
  <si>
    <t>+3</t>
  </si>
  <si>
    <t>+5</t>
  </si>
  <si>
    <t>+6</t>
  </si>
  <si>
    <t>+8</t>
  </si>
  <si>
    <t>+9</t>
  </si>
  <si>
    <t>+10</t>
  </si>
  <si>
    <t>+12</t>
  </si>
  <si>
    <t>+13</t>
  </si>
  <si>
    <t>+14</t>
  </si>
  <si>
    <t>+15</t>
  </si>
  <si>
    <t>+17</t>
  </si>
  <si>
    <t>+18</t>
  </si>
  <si>
    <t>+19</t>
  </si>
  <si>
    <t>+20</t>
  </si>
  <si>
    <t>+21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</si>
</sst>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00%"/>
    <numFmt numFmtId="166" formatCode="#,##0.000"/>
    <numFmt numFmtId="167" formatCode="#,##0.0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EF8E3"/>
        <bgColor rgb="FFFEF8E3"/>
      </patternFill>
    </fill>
    <fill>
      <patternFill patternType="solid">
        <fgColor rgb="FF83F2FF"/>
        <bgColor rgb="FF83F2FF"/>
      </patternFill>
    </fill>
    <fill>
      <patternFill patternType="solid">
        <fgColor rgb="FFFFFF79"/>
        <bgColor rgb="FFFFFF79"/>
      </patternFill>
    </fill>
    <fill>
      <patternFill patternType="solid">
        <fgColor rgb="FF79FF99"/>
        <bgColor rgb="FF79FF99"/>
      </patternFill>
    </fill>
    <fill>
      <patternFill patternType="solid">
        <fgColor rgb="FF81B2FF"/>
        <bgColor rgb="FF81B2FF"/>
      </patternFill>
    </fill>
    <fill>
      <patternFill patternType="solid">
        <fgColor rgb="FFFF7676"/>
        <bgColor rgb="FFFF7676"/>
      </patternFill>
    </fill>
    <fill>
      <patternFill patternType="solid">
        <fgColor rgb="FFFF7DFF"/>
        <bgColor rgb="FFFF7D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BDBDBD"/>
        <bgColor rgb="FFBDBDBD"/>
      </patternFill>
    </fill>
    <fill>
      <patternFill patternType="solid">
        <fgColor rgb="FF7AE5F1"/>
        <bgColor rgb="FF7AE5F1"/>
      </patternFill>
    </fill>
    <fill>
      <patternFill patternType="solid">
        <fgColor rgb="FFF7F775"/>
        <bgColor rgb="FFF7F775"/>
      </patternFill>
    </fill>
    <fill>
      <patternFill patternType="solid">
        <fgColor rgb="FF70EB8D"/>
        <bgColor rgb="FF70EB8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vertical="center"/>
    </xf>
    <xf borderId="0" fillId="3" fontId="2" numFmtId="0" xfId="0" applyAlignment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5" fontId="2" numFmtId="0" xfId="0" applyAlignment="1" applyFill="1" applyFont="1">
      <alignment horizontal="center" readingOrder="0" shrinkToFit="0" vertical="center" wrapText="0"/>
    </xf>
    <xf borderId="0" fillId="6" fontId="2" numFmtId="0" xfId="0" applyAlignment="1" applyFill="1" applyFont="1">
      <alignment horizontal="center" readingOrder="0" shrinkToFit="0" vertical="center" wrapText="0"/>
    </xf>
    <xf borderId="0" fillId="7" fontId="2" numFmtId="0" xfId="0" applyAlignment="1" applyFill="1" applyFont="1">
      <alignment horizontal="center" readingOrder="0" shrinkToFit="0" vertical="center" wrapText="0"/>
    </xf>
    <xf borderId="0" fillId="8" fontId="2" numFmtId="0" xfId="0" applyAlignment="1" applyFill="1" applyFont="1">
      <alignment horizontal="center" readingOrder="0" shrinkToFit="0" vertical="center" wrapText="0"/>
    </xf>
    <xf borderId="0" fillId="9" fontId="2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10" fontId="1" numFmtId="0" xfId="0" applyFill="1" applyFont="1"/>
    <xf borderId="0" fillId="3" fontId="3" numFmtId="0" xfId="0" applyAlignment="1" applyFont="1">
      <alignment horizontal="center"/>
    </xf>
    <xf borderId="0" fillId="11" fontId="3" numFmtId="0" xfId="0" applyAlignment="1" applyFill="1" applyFont="1">
      <alignment horizontal="center" vertical="bottom"/>
    </xf>
    <xf borderId="0" fillId="4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6" fontId="3" numFmtId="10" xfId="0" applyAlignment="1" applyFont="1" applyNumberFormat="1">
      <alignment horizontal="center" vertical="bottom"/>
    </xf>
    <xf borderId="0" fillId="10" fontId="3" numFmtId="0" xfId="0" applyAlignment="1" applyFont="1">
      <alignment vertical="bottom"/>
    </xf>
    <xf borderId="0" fillId="3" fontId="3" numFmtId="164" xfId="0" applyAlignment="1" applyFont="1" applyNumberFormat="1">
      <alignment horizontal="center"/>
    </xf>
    <xf borderId="0" fillId="4" fontId="3" numFmtId="164" xfId="0" applyAlignment="1" applyFont="1" applyNumberFormat="1">
      <alignment horizontal="center"/>
    </xf>
    <xf borderId="0" fillId="5" fontId="3" numFmtId="164" xfId="0" applyAlignment="1" applyFont="1" applyNumberFormat="1">
      <alignment horizontal="center"/>
    </xf>
    <xf borderId="0" fillId="10" fontId="1" numFmtId="0" xfId="0" applyAlignment="1" applyFont="1">
      <alignment readingOrder="0"/>
    </xf>
    <xf borderId="0" fillId="3" fontId="3" numFmtId="164" xfId="0" applyAlignment="1" applyFont="1" applyNumberFormat="1">
      <alignment horizontal="right"/>
    </xf>
    <xf borderId="0" fillId="11" fontId="3" numFmtId="165" xfId="0" applyAlignment="1" applyFont="1" applyNumberFormat="1">
      <alignment horizontal="center"/>
    </xf>
    <xf borderId="0" fillId="4" fontId="3" numFmtId="165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4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6" fontId="3" numFmtId="0" xfId="0" applyAlignment="1" applyFont="1">
      <alignment horizontal="center"/>
    </xf>
    <xf borderId="0" fillId="7" fontId="3" numFmtId="0" xfId="0" applyAlignment="1" applyFont="1">
      <alignment horizontal="center"/>
    </xf>
    <xf borderId="0" fillId="8" fontId="3" numFmtId="0" xfId="0" applyAlignment="1" applyFont="1">
      <alignment horizontal="center"/>
    </xf>
    <xf borderId="0" fillId="5" fontId="3" numFmtId="165" xfId="0" applyAlignment="1" applyFont="1" applyNumberFormat="1">
      <alignment horizontal="center"/>
    </xf>
    <xf borderId="0" fillId="6" fontId="3" numFmtId="165" xfId="0" applyAlignment="1" applyFont="1" applyNumberFormat="1">
      <alignment horizontal="center" vertical="bottom"/>
    </xf>
    <xf borderId="0" fillId="10" fontId="3" numFmtId="10" xfId="0" applyAlignment="1" applyFont="1" applyNumberFormat="1">
      <alignment vertical="bottom"/>
    </xf>
    <xf borderId="0" fillId="3" fontId="3" numFmtId="10" xfId="0" applyAlignment="1" applyFont="1" applyNumberFormat="1">
      <alignment horizontal="right"/>
    </xf>
    <xf borderId="0" fillId="4" fontId="3" numFmtId="165" xfId="0" applyAlignment="1" applyFont="1" applyNumberFormat="1">
      <alignment horizontal="center" readingOrder="0"/>
    </xf>
    <xf borderId="0" fillId="6" fontId="3" numFmtId="165" xfId="0" applyAlignment="1" applyFont="1" applyNumberFormat="1">
      <alignment vertical="bottom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0" fillId="3" fontId="3" numFmtId="0" xfId="0" applyAlignment="1" applyFont="1">
      <alignment horizontal="right" vertical="bottom"/>
    </xf>
    <xf borderId="0" fillId="9" fontId="1" numFmtId="0" xfId="0" applyAlignment="1" applyFont="1">
      <alignment horizontal="center" readingOrder="0" vertical="center"/>
    </xf>
    <xf borderId="0" fillId="11" fontId="3" numFmtId="165" xfId="0" applyAlignment="1" applyFont="1" applyNumberFormat="1">
      <alignment vertical="bottom"/>
    </xf>
    <xf borderId="0" fillId="4" fontId="3" numFmtId="165" xfId="0" applyAlignment="1" applyFont="1" applyNumberFormat="1">
      <alignment vertical="bottom"/>
    </xf>
    <xf borderId="0" fillId="5" fontId="3" numFmtId="165" xfId="0" applyAlignment="1" applyFont="1" applyNumberFormat="1">
      <alignment vertical="bottom"/>
    </xf>
    <xf borderId="0" fillId="10" fontId="3" numFmtId="10" xfId="0" applyAlignment="1" applyFont="1" applyNumberFormat="1">
      <alignment horizontal="center"/>
    </xf>
    <xf borderId="0" fillId="6" fontId="3" numFmtId="165" xfId="0" applyAlignment="1" applyFont="1" applyNumberFormat="1">
      <alignment horizontal="center" readingOrder="0" vertical="bottom"/>
    </xf>
    <xf borderId="0" fillId="9" fontId="1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4" numFmtId="0" xfId="0" applyAlignment="1" applyFont="1">
      <alignment horizontal="center" vertical="center"/>
    </xf>
    <xf borderId="0" fillId="7" fontId="4" numFmtId="0" xfId="0" applyAlignment="1" applyFont="1">
      <alignment horizontal="center" vertical="center"/>
    </xf>
    <xf borderId="0" fillId="8" fontId="4" numFmtId="0" xfId="0" applyAlignment="1" applyFont="1">
      <alignment horizontal="center" vertical="center"/>
    </xf>
    <xf borderId="0" fillId="9" fontId="4" numFmtId="0" xfId="0" applyAlignment="1" applyFont="1">
      <alignment horizontal="center" vertical="center"/>
    </xf>
    <xf borderId="0" fillId="3" fontId="3" numFmtId="164" xfId="0" applyAlignment="1" applyFont="1" applyNumberFormat="1">
      <alignment horizontal="right" vertical="bottom"/>
    </xf>
    <xf borderId="0" fillId="10" fontId="3" numFmtId="164" xfId="0" applyAlignment="1" applyFont="1" applyNumberFormat="1">
      <alignment vertical="bottom"/>
    </xf>
    <xf borderId="0" fillId="10" fontId="3" numFmtId="10" xfId="0" applyFont="1" applyNumberFormat="1"/>
    <xf borderId="0" fillId="11" fontId="3" numFmtId="10" xfId="0" applyAlignment="1" applyFont="1" applyNumberFormat="1">
      <alignment horizontal="center" vertical="bottom"/>
    </xf>
    <xf borderId="0" fillId="4" fontId="3" numFmtId="10" xfId="0" applyAlignment="1" applyFont="1" applyNumberFormat="1">
      <alignment horizontal="center"/>
    </xf>
    <xf borderId="0" fillId="5" fontId="3" numFmtId="10" xfId="0" applyAlignment="1" applyFont="1" applyNumberFormat="1">
      <alignment horizontal="center"/>
    </xf>
    <xf borderId="0" fillId="3" fontId="3" numFmtId="10" xfId="0" applyAlignment="1" applyFont="1" applyNumberFormat="1">
      <alignment horizontal="center"/>
    </xf>
    <xf borderId="0" fillId="11" fontId="3" numFmtId="165" xfId="0" applyAlignment="1" applyFont="1" applyNumberFormat="1">
      <alignment horizontal="center" readingOrder="0"/>
    </xf>
    <xf borderId="0" fillId="3" fontId="1" numFmtId="10" xfId="0" applyAlignment="1" applyFont="1" applyNumberFormat="1">
      <alignment horizontal="center" readingOrder="0" vertical="center"/>
    </xf>
    <xf borderId="0" fillId="4" fontId="5" numFmtId="10" xfId="0" applyAlignment="1" applyFont="1" applyNumberFormat="1">
      <alignment horizontal="center" readingOrder="0" vertical="center"/>
    </xf>
    <xf borderId="0" fillId="5" fontId="2" numFmtId="10" xfId="0" applyAlignment="1" applyFont="1" applyNumberFormat="1">
      <alignment horizontal="center" readingOrder="0" shrinkToFit="0" vertical="center" wrapText="0"/>
    </xf>
    <xf borderId="0" fillId="6" fontId="2" numFmtId="10" xfId="0" applyAlignment="1" applyFont="1" applyNumberFormat="1">
      <alignment horizontal="center" readingOrder="0" shrinkToFit="0" vertical="center" wrapText="0"/>
    </xf>
    <xf borderId="0" fillId="7" fontId="2" numFmtId="10" xfId="0" applyAlignment="1" applyFont="1" applyNumberFormat="1">
      <alignment horizontal="center" readingOrder="0" shrinkToFit="0" vertical="center" wrapText="0"/>
    </xf>
    <xf borderId="0" fillId="8" fontId="2" numFmtId="10" xfId="0" applyAlignment="1" applyFont="1" applyNumberFormat="1">
      <alignment horizontal="center" readingOrder="0" shrinkToFit="0" vertical="center" wrapText="0"/>
    </xf>
    <xf borderId="0" fillId="9" fontId="2" numFmtId="10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vertical="center"/>
    </xf>
    <xf borderId="0" fillId="3" fontId="3" numFmtId="10" xfId="0" applyFont="1" applyNumberFormat="1"/>
    <xf borderId="0" fillId="6" fontId="3" numFmtId="10" xfId="0" applyAlignment="1" applyFont="1" applyNumberFormat="1">
      <alignment horizontal="center"/>
    </xf>
    <xf borderId="0" fillId="7" fontId="3" numFmtId="10" xfId="0" applyAlignment="1" applyFont="1" applyNumberFormat="1">
      <alignment horizontal="center"/>
    </xf>
    <xf borderId="0" fillId="8" fontId="3" numFmtId="10" xfId="0" applyAlignment="1" applyFont="1" applyNumberFormat="1">
      <alignment horizontal="center"/>
    </xf>
    <xf borderId="0" fillId="5" fontId="3" numFmtId="165" xfId="0" applyAlignment="1" applyFont="1" applyNumberFormat="1">
      <alignment horizontal="center" readingOrder="0"/>
    </xf>
    <xf borderId="0" fillId="9" fontId="3" numFmtId="10" xfId="0" applyFont="1" applyNumberFormat="1"/>
    <xf borderId="0" fillId="2" fontId="1" numFmtId="10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shrinkToFit="0" vertical="center" wrapText="0"/>
    </xf>
    <xf borderId="0" fillId="11" fontId="3" numFmtId="165" xfId="0" applyFont="1" applyNumberFormat="1"/>
    <xf borderId="0" fillId="4" fontId="1" numFmtId="165" xfId="0" applyAlignment="1" applyFont="1" applyNumberFormat="1">
      <alignment horizontal="center" readingOrder="0" vertical="center"/>
    </xf>
    <xf borderId="0" fillId="5" fontId="2" numFmtId="165" xfId="0" applyAlignment="1" applyFont="1" applyNumberFormat="1">
      <alignment horizontal="center" readingOrder="0" shrinkToFit="0" vertical="center" wrapText="0"/>
    </xf>
    <xf borderId="0" fillId="5" fontId="6" numFmtId="165" xfId="0" applyAlignment="1" applyFont="1" applyNumberFormat="1">
      <alignment horizontal="center" readingOrder="0" shrinkToFit="0" vertical="center" wrapText="0"/>
    </xf>
    <xf borderId="0" fillId="6" fontId="6" numFmtId="10" xfId="0" applyAlignment="1" applyFont="1" applyNumberFormat="1">
      <alignment horizontal="center" vertical="center"/>
    </xf>
    <xf borderId="0" fillId="6" fontId="6" numFmtId="10" xfId="0" applyAlignment="1" applyFont="1" applyNumberFormat="1">
      <alignment horizontal="center" readingOrder="0" shrinkToFit="0" vertical="center" wrapText="0"/>
    </xf>
    <xf borderId="0" fillId="10" fontId="1" numFmtId="0" xfId="0" applyAlignment="1" applyFont="1">
      <alignment horizontal="center" vertical="center"/>
    </xf>
    <xf borderId="0" fillId="7" fontId="6" numFmtId="10" xfId="0" applyAlignment="1" applyFont="1" applyNumberFormat="1">
      <alignment horizontal="center" readingOrder="0" shrinkToFit="0" vertical="center" wrapText="0"/>
    </xf>
    <xf borderId="0" fillId="6" fontId="6" numFmtId="165" xfId="0" applyAlignment="1" applyFont="1" applyNumberFormat="1">
      <alignment horizontal="center" vertical="center"/>
    </xf>
    <xf borderId="0" fillId="6" fontId="6" numFmtId="165" xfId="0" applyAlignment="1" applyFont="1" applyNumberFormat="1">
      <alignment horizontal="center" readingOrder="0" shrinkToFit="0" vertical="center" wrapText="0"/>
    </xf>
    <xf borderId="0" fillId="4" fontId="1" numFmtId="10" xfId="0" applyAlignment="1" applyFont="1" applyNumberFormat="1">
      <alignment horizontal="center" readingOrder="0" vertical="center"/>
    </xf>
    <xf borderId="0" fillId="5" fontId="6" numFmtId="10" xfId="0" applyAlignment="1" applyFont="1" applyNumberFormat="1">
      <alignment horizontal="center" readingOrder="0" shrinkToFit="0" vertical="center" wrapText="0"/>
    </xf>
    <xf borderId="0" fillId="12" fontId="3" numFmtId="0" xfId="0" applyFill="1" applyFont="1"/>
    <xf borderId="0" fillId="13" fontId="3" numFmtId="0" xfId="0" applyAlignment="1" applyFill="1" applyFont="1">
      <alignment horizontal="center"/>
    </xf>
    <xf borderId="0" fillId="14" fontId="3" numFmtId="0" xfId="0" applyAlignment="1" applyFill="1" applyFont="1">
      <alignment horizontal="center"/>
    </xf>
    <xf borderId="0" fillId="15" fontId="3" numFmtId="0" xfId="0" applyAlignment="1" applyFill="1" applyFont="1">
      <alignment horizontal="center" vertical="bottom"/>
    </xf>
    <xf borderId="0" fillId="3" fontId="3" numFmtId="0" xfId="0" applyAlignment="1" applyFont="1">
      <alignment horizontal="right"/>
    </xf>
    <xf borderId="0" fillId="16" fontId="3" numFmtId="0" xfId="0" applyAlignment="1" applyFill="1" applyFont="1">
      <alignment horizontal="center"/>
    </xf>
    <xf borderId="0" fillId="6" fontId="3" numFmtId="0" xfId="0" applyAlignment="1" applyFont="1">
      <alignment horizontal="center" vertical="bottom"/>
    </xf>
    <xf borderId="0" fillId="17" fontId="3" numFmtId="165" xfId="0" applyAlignment="1" applyFill="1" applyFont="1" applyNumberFormat="1">
      <alignment horizontal="center"/>
    </xf>
    <xf borderId="0" fillId="13" fontId="3" numFmtId="165" xfId="0" applyAlignment="1" applyFont="1" applyNumberFormat="1">
      <alignment horizontal="center" vertical="bottom"/>
    </xf>
    <xf borderId="0" fillId="14" fontId="3" numFmtId="165" xfId="0" applyAlignment="1" applyFont="1" applyNumberFormat="1">
      <alignment horizontal="center" vertical="bottom"/>
    </xf>
    <xf borderId="0" fillId="15" fontId="3" numFmtId="165" xfId="0" applyAlignment="1" applyFont="1" applyNumberFormat="1">
      <alignment horizontal="center" vertical="bottom"/>
    </xf>
    <xf borderId="0" fillId="16" fontId="3" numFmtId="165" xfId="0" applyAlignment="1" applyFont="1" applyNumberFormat="1">
      <alignment horizontal="center"/>
    </xf>
    <xf borderId="0" fillId="4" fontId="3" numFmtId="165" xfId="0" applyAlignment="1" applyFont="1" applyNumberFormat="1">
      <alignment horizontal="center" vertical="bottom"/>
    </xf>
    <xf borderId="0" fillId="2" fontId="3" numFmtId="0" xfId="0" applyFont="1"/>
    <xf borderId="0" fillId="5" fontId="3" numFmtId="165" xfId="0" applyAlignment="1" applyFont="1" applyNumberFormat="1">
      <alignment horizontal="center" vertical="bottom"/>
    </xf>
    <xf borderId="0" fillId="3" fontId="3" numFmtId="0" xfId="0" applyAlignment="1" applyFont="1">
      <alignment horizontal="right"/>
    </xf>
    <xf borderId="0" fillId="3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0"/>
    </xf>
    <xf borderId="0" fillId="3" fontId="1" numFmtId="166" xfId="0" applyAlignment="1" applyFont="1" applyNumberFormat="1">
      <alignment horizontal="center" vertical="center"/>
    </xf>
    <xf borderId="0" fillId="4" fontId="1" numFmtId="166" xfId="0" applyAlignment="1" applyFont="1" applyNumberFormat="1">
      <alignment horizontal="center" vertical="center"/>
    </xf>
    <xf borderId="0" fillId="5" fontId="1" numFmtId="166" xfId="0" applyAlignment="1" applyFont="1" applyNumberFormat="1">
      <alignment horizontal="center" vertical="center"/>
    </xf>
    <xf borderId="0" fillId="5" fontId="1" numFmtId="167" xfId="0" applyAlignment="1" applyFont="1" applyNumberFormat="1">
      <alignment horizontal="center" vertical="center"/>
    </xf>
    <xf borderId="0" fillId="6" fontId="1" numFmtId="166" xfId="0" applyAlignment="1" applyFont="1" applyNumberFormat="1">
      <alignment horizontal="center" vertical="center"/>
    </xf>
    <xf borderId="0" fillId="7" fontId="1" numFmtId="166" xfId="0" applyAlignment="1" applyFont="1" applyNumberFormat="1">
      <alignment horizontal="center" vertical="center"/>
    </xf>
    <xf borderId="0" fillId="8" fontId="1" numFmtId="166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3" fontId="3" numFmtId="0" xfId="0" applyAlignment="1" applyFont="1">
      <alignment horizontal="right" vertical="bottom"/>
    </xf>
    <xf borderId="0" fillId="17" fontId="3" numFmtId="165" xfId="0" applyAlignment="1" applyFont="1" applyNumberFormat="1">
      <alignment horizontal="center" vertical="bottom"/>
    </xf>
    <xf borderId="0" fillId="6" fontId="1" numFmtId="167" xfId="0" applyAlignment="1" applyFont="1" applyNumberFormat="1">
      <alignment horizontal="center" vertical="center"/>
    </xf>
    <xf borderId="0" fillId="17" fontId="3" numFmtId="167" xfId="0" applyAlignment="1" applyFont="1" applyNumberFormat="1">
      <alignment horizontal="center"/>
    </xf>
    <xf borderId="0" fillId="13" fontId="3" numFmtId="167" xfId="0" applyAlignment="1" applyFont="1" applyNumberFormat="1">
      <alignment horizontal="center"/>
    </xf>
    <xf borderId="0" fillId="14" fontId="3" numFmtId="167" xfId="0" applyAlignment="1" applyFont="1" applyNumberFormat="1">
      <alignment horizontal="center"/>
    </xf>
    <xf borderId="0" fillId="6" fontId="3" numFmtId="167" xfId="0" applyAlignment="1" applyFont="1" applyNumberFormat="1">
      <alignment horizontal="center" vertical="bottom"/>
    </xf>
    <xf borderId="0" fillId="3" fontId="3" numFmtId="166" xfId="0" applyAlignment="1" applyFont="1" applyNumberFormat="1">
      <alignment horizontal="center"/>
    </xf>
    <xf borderId="0" fillId="4" fontId="3" numFmtId="166" xfId="0" applyAlignment="1" applyFont="1" applyNumberFormat="1">
      <alignment horizontal="center"/>
    </xf>
    <xf borderId="0" fillId="5" fontId="3" numFmtId="166" xfId="0" applyAlignment="1" applyFont="1" applyNumberFormat="1">
      <alignment horizontal="center"/>
    </xf>
    <xf borderId="0" fillId="6" fontId="3" numFmtId="166" xfId="0" applyAlignment="1" applyFont="1" applyNumberFormat="1">
      <alignment horizontal="center"/>
    </xf>
    <xf borderId="0" fillId="10" fontId="3" numFmtId="0" xfId="0" applyFont="1"/>
    <xf borderId="0" fillId="7" fontId="3" numFmtId="166" xfId="0" applyAlignment="1" applyFont="1" applyNumberFormat="1">
      <alignment horizontal="center"/>
    </xf>
    <xf borderId="0" fillId="8" fontId="3" numFmtId="166" xfId="0" applyAlignment="1" applyFont="1" applyNumberFormat="1">
      <alignment horizontal="center"/>
    </xf>
    <xf borderId="0" fillId="9" fontId="3" numFmtId="166" xfId="0" applyFont="1" applyNumberFormat="1"/>
    <xf borderId="0" fillId="12" fontId="3" numFmtId="0" xfId="0" applyAlignment="1" applyFont="1">
      <alignment vertical="bottom"/>
    </xf>
    <xf borderId="0" fillId="2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16" fontId="3" numFmtId="165" xfId="0" applyAlignment="1" applyFont="1" applyNumberFormat="1">
      <alignment horizontal="center" vertical="bottom"/>
    </xf>
    <xf borderId="0" fillId="16" fontId="3" numFmtId="167" xfId="0" applyAlignment="1" applyFont="1" applyNumberFormat="1">
      <alignment horizontal="center"/>
    </xf>
    <xf borderId="0" fillId="4" fontId="3" numFmtId="167" xfId="0" applyAlignment="1" applyFont="1" applyNumberFormat="1">
      <alignment horizontal="center" vertical="bottom"/>
    </xf>
    <xf borderId="0" fillId="5" fontId="3" numFmtId="167" xfId="0" applyAlignment="1" applyFont="1" applyNumberFormat="1">
      <alignment horizontal="center" vertical="bottom"/>
    </xf>
    <xf borderId="0" fillId="4" fontId="3" numFmtId="167" xfId="0" applyAlignment="1" applyFont="1" applyNumberFormat="1">
      <alignment horizontal="center"/>
    </xf>
    <xf borderId="0" fillId="5" fontId="3" numFmtId="167" xfId="0" applyAlignment="1" applyFont="1" applyNumberFormat="1">
      <alignment horizontal="center"/>
    </xf>
    <xf borderId="0" fillId="13" fontId="3" numFmtId="0" xfId="0" applyAlignment="1" applyFont="1">
      <alignment horizontal="center" vertical="bottom"/>
    </xf>
    <xf borderId="0" fillId="14" fontId="3" numFmtId="0" xfId="0" applyAlignment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10" fontId="1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13" fontId="1" numFmtId="0" xfId="0" applyAlignment="1" applyFont="1">
      <alignment horizontal="center" readingOrder="0" vertical="center"/>
    </xf>
    <xf borderId="0" fillId="14" fontId="1" numFmtId="0" xfId="0" applyAlignment="1" applyFont="1">
      <alignment horizontal="center" readingOrder="0" vertical="center"/>
    </xf>
    <xf borderId="0" fillId="15" fontId="3" numFmtId="0" xfId="0" applyAlignment="1" applyFont="1">
      <alignment horizontal="center" vertical="center"/>
    </xf>
    <xf borderId="0" fillId="6" fontId="3" numFmtId="0" xfId="0" applyAlignment="1" applyFont="1">
      <alignment horizontal="center" vertical="center"/>
    </xf>
    <xf borderId="0" fillId="4" fontId="1" numFmtId="0" xfId="0" applyAlignment="1" applyFont="1">
      <alignment readingOrder="0" vertical="center"/>
    </xf>
    <xf borderId="0" fillId="4" fontId="1" numFmtId="0" xfId="0" applyAlignment="1" applyFont="1">
      <alignment vertical="center"/>
    </xf>
    <xf borderId="0" fillId="0" fontId="1" numFmtId="4" xfId="0" applyAlignment="1" applyFont="1" applyNumberFormat="1">
      <alignment horizontal="center" vertical="center"/>
    </xf>
    <xf borderId="0" fillId="13" fontId="1" numFmtId="4" xfId="0" applyAlignment="1" applyFont="1" applyNumberFormat="1">
      <alignment horizontal="center" vertical="center"/>
    </xf>
    <xf borderId="0" fillId="14" fontId="1" numFmtId="4" xfId="0" applyAlignment="1" applyFont="1" applyNumberFormat="1">
      <alignment horizontal="center" vertical="center"/>
    </xf>
    <xf borderId="0" fillId="15" fontId="3" numFmtId="4" xfId="0" applyAlignment="1" applyFont="1" applyNumberFormat="1">
      <alignment horizontal="center" vertical="center"/>
    </xf>
    <xf borderId="0" fillId="5" fontId="1" numFmtId="0" xfId="0" applyAlignment="1" applyFont="1">
      <alignment readingOrder="0" vertical="center"/>
    </xf>
    <xf borderId="0" fillId="5" fontId="1" numFmtId="0" xfId="0" applyAlignment="1" applyFont="1">
      <alignment vertical="center"/>
    </xf>
    <xf borderId="0" fillId="4" fontId="1" numFmtId="4" xfId="0" applyAlignment="1" applyFont="1" applyNumberFormat="1">
      <alignment horizontal="center" vertical="center"/>
    </xf>
    <xf borderId="0" fillId="5" fontId="1" numFmtId="4" xfId="0" applyAlignment="1" applyFont="1" applyNumberFormat="1">
      <alignment horizontal="center" vertical="center"/>
    </xf>
    <xf borderId="0" fillId="6" fontId="3" numFmtId="4" xfId="0" applyAlignment="1" applyFont="1" applyNumberFormat="1">
      <alignment horizontal="center" vertical="center"/>
    </xf>
    <xf borderId="0" fillId="6" fontId="1" numFmtId="0" xfId="0" applyAlignment="1" applyFont="1">
      <alignment readingOrder="0" vertical="center"/>
    </xf>
    <xf borderId="0" fillId="6" fontId="1" numFmtId="0" xfId="0" applyAlignment="1" applyFont="1">
      <alignment vertical="center"/>
    </xf>
    <xf borderId="0" fillId="7" fontId="1" numFmtId="0" xfId="0" applyAlignment="1" applyFont="1">
      <alignment readingOrder="0" vertical="center"/>
    </xf>
    <xf borderId="0" fillId="7" fontId="1" numFmtId="0" xfId="0" applyAlignment="1" applyFont="1">
      <alignment vertical="center"/>
    </xf>
    <xf borderId="0" fillId="8" fontId="1" numFmtId="0" xfId="0" applyAlignment="1" applyFont="1">
      <alignment readingOrder="0" vertical="center"/>
    </xf>
    <xf borderId="0" fillId="8" fontId="1" numFmtId="0" xfId="0" applyAlignment="1" applyFont="1">
      <alignment vertical="center"/>
    </xf>
    <xf borderId="0" fillId="9" fontId="1" numFmtId="0" xfId="0" applyAlignment="1" applyFont="1">
      <alignment readingOrder="0" vertical="center"/>
    </xf>
    <xf borderId="0" fillId="9" fontId="1" numFmtId="0" xfId="0" applyAlignment="1" applyFont="1">
      <alignment vertical="center"/>
    </xf>
    <xf borderId="0" fillId="10" fontId="1" numFmtId="0" xfId="0" applyAlignment="1" applyFont="1">
      <alignment horizontal="center" vertical="center"/>
    </xf>
    <xf borderId="0" fillId="13" fontId="3" numFmtId="4" xfId="0" applyAlignment="1" applyFont="1" applyNumberFormat="1">
      <alignment horizontal="center" vertical="center"/>
    </xf>
    <xf borderId="0" fillId="14" fontId="3" numFmtId="4" xfId="0" applyAlignment="1" applyFont="1" applyNumberFormat="1">
      <alignment horizontal="center" vertical="center"/>
    </xf>
    <xf borderId="0" fillId="4" fontId="3" numFmtId="4" xfId="0" applyAlignment="1" applyFont="1" applyNumberFormat="1">
      <alignment horizontal="center" vertical="center"/>
    </xf>
    <xf borderId="0" fillId="5" fontId="3" numFmtId="4" xfId="0" applyAlignment="1" applyFont="1" applyNumberFormat="1">
      <alignment horizontal="center" vertical="center"/>
    </xf>
    <xf borderId="0" fillId="17" fontId="3" numFmtId="4" xfId="0" applyAlignment="1" applyFont="1" applyNumberFormat="1">
      <alignment horizontal="center" vertical="center"/>
    </xf>
    <xf borderId="0" fillId="16" fontId="3" numFmtId="4" xfId="0" applyAlignment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7">
    <tableStyle count="3" pivot="0" name="Enchant Stats-style">
      <tableStyleElement dxfId="1" type="headerRow"/>
      <tableStyleElement dxfId="2" type="firstRowStripe"/>
      <tableStyleElement dxfId="3" type="secondRowStripe"/>
    </tableStyle>
    <tableStyle count="3" pivot="0" name="Chest Rates-style">
      <tableStyleElement dxfId="4" type="headerRow"/>
      <tableStyleElement dxfId="2" type="firstRowStripe"/>
      <tableStyleElement dxfId="5" type="secondRowStripe"/>
    </tableStyle>
    <tableStyle count="3" pivot="0" name="Chest Rates-style 2">
      <tableStyleElement dxfId="4" type="headerRow"/>
      <tableStyleElement dxfId="2" type="firstRowStripe"/>
      <tableStyleElement dxfId="5" type="secondRowStripe"/>
    </tableStyle>
    <tableStyle count="3" pivot="0" name="Chest Rates-style 3">
      <tableStyleElement dxfId="4" type="headerRow"/>
      <tableStyleElement dxfId="2" type="firstRowStripe"/>
      <tableStyleElement dxfId="5" type="secondRowStripe"/>
    </tableStyle>
    <tableStyle count="3" pivot="0" name="Chest Rates-style 4">
      <tableStyleElement dxfId="4" type="headerRow"/>
      <tableStyleElement dxfId="2" type="firstRowStripe"/>
      <tableStyleElement dxfId="5" type="secondRowStripe"/>
    </tableStyle>
    <tableStyle count="3" pivot="0" name="Chest Rates-style 5">
      <tableStyleElement dxfId="4" type="headerRow"/>
      <tableStyleElement dxfId="2" type="firstRowStripe"/>
      <tableStyleElement dxfId="5" type="secondRowStripe"/>
    </tableStyle>
    <tableStyle count="3" pivot="0" name="Chest Rates-style 6">
      <tableStyleElement dxfId="4" type="headerRow"/>
      <tableStyleElement dxfId="2" type="firstRowStripe"/>
      <tableStyleElement dxfId="5" type="secondRowStripe"/>
    </tableStyle>
    <tableStyle count="3" pivot="0" name="Chest Rates-style 7">
      <tableStyleElement dxfId="4" type="headerRow"/>
      <tableStyleElement dxfId="2" type="firstRowStripe"/>
      <tableStyleElement dxfId="5" type="secondRowStripe"/>
    </tableStyle>
    <tableStyle count="3" pivot="0" name="Chest Rates-style 8">
      <tableStyleElement dxfId="4" type="headerRow"/>
      <tableStyleElement dxfId="2" type="firstRowStripe"/>
      <tableStyleElement dxfId="5" type="secondRowStripe"/>
    </tableStyle>
    <tableStyle count="3" pivot="0" name="Chest Rates-style 9">
      <tableStyleElement dxfId="4" type="headerRow"/>
      <tableStyleElement dxfId="2" type="firstRowStripe"/>
      <tableStyleElement dxfId="5" type="secondRowStripe"/>
    </tableStyle>
    <tableStyle count="3" pivot="0" name="Chest Rates-style 10">
      <tableStyleElement dxfId="4" type="headerRow"/>
      <tableStyleElement dxfId="2" type="firstRowStripe"/>
      <tableStyleElement dxfId="5" type="secondRowStripe"/>
    </tableStyle>
    <tableStyle count="3" pivot="0" name="Chest Rates-style 11">
      <tableStyleElement dxfId="4" type="headerRow"/>
      <tableStyleElement dxfId="2" type="firstRowStripe"/>
      <tableStyleElement dxfId="5" type="secondRowStripe"/>
    </tableStyle>
    <tableStyle count="3" pivot="0" name="Chest Rates-style 12">
      <tableStyleElement dxfId="4" type="headerRow"/>
      <tableStyleElement dxfId="2" type="firstRowStripe"/>
      <tableStyleElement dxfId="5" type="secondRowStripe"/>
    </tableStyle>
    <tableStyle count="3" pivot="0" name="Chest Rates-style 13">
      <tableStyleElement dxfId="4" type="headerRow"/>
      <tableStyleElement dxfId="2" type="firstRowStripe"/>
      <tableStyleElement dxfId="5" type="secondRowStripe"/>
    </tableStyle>
    <tableStyle count="3" pivot="0" name="Chest Rates-style 14">
      <tableStyleElement dxfId="4" type="headerRow"/>
      <tableStyleElement dxfId="2" type="firstRowStripe"/>
      <tableStyleElement dxfId="5" type="secondRowStripe"/>
    </tableStyle>
    <tableStyle count="3" pivot="0" name="Chest Rates-style 15">
      <tableStyleElement dxfId="4" type="headerRow"/>
      <tableStyleElement dxfId="2" type="firstRowStripe"/>
      <tableStyleElement dxfId="5" type="secondRowStripe"/>
    </tableStyle>
    <tableStyle count="3" pivot="0" name="Chest Rates-style 16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27:J33" displayName="Table_1" name="Table_1" id="1">
  <tableColumns count="1">
    <tableColumn name="Column1" id="1"/>
  </tableColumns>
  <tableStyleInfo name="Enchant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D55:D62" displayName="Table_2" name="Table_2" id="2">
  <tableColumns count="1">
    <tableColumn name="Column1" id="1"/>
  </tableColumns>
  <tableStyleInfo name="Chest Ra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D64:D71" displayName="Table_3" name="Table_3" id="3">
  <tableColumns count="1">
    <tableColumn name="Column1" id="1"/>
  </tableColumns>
  <tableStyleInfo name="Chest Rate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D73:D80" displayName="Table_4" name="Table_4" id="4">
  <tableColumns count="1">
    <tableColumn name="Column1" id="1"/>
  </tableColumns>
  <tableStyleInfo name="Chest Rat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D82:D89" displayName="Table_5" name="Table_5" id="5">
  <tableColumns count="1">
    <tableColumn name="Column1" id="1"/>
  </tableColumns>
  <tableStyleInfo name="Chest Rate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D91:D98" displayName="Table_6" name="Table_6" id="6">
  <tableColumns count="1">
    <tableColumn name="Column1" id="1"/>
  </tableColumns>
  <tableStyleInfo name="Chest Rate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D100:D107" displayName="Table_7" name="Table_7" id="7">
  <tableColumns count="1">
    <tableColumn name="Column1" id="1"/>
  </tableColumns>
  <tableStyleInfo name="Chest Rate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D109:D116" displayName="Table_8" name="Table_8" id="8">
  <tableColumns count="1">
    <tableColumn name="Column1" id="1"/>
  </tableColumns>
  <tableStyleInfo name="Chest Rate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D118:D125" displayName="Table_9" name="Table_9" id="9">
  <tableColumns count="1">
    <tableColumn name="Column1" id="1"/>
  </tableColumns>
  <tableStyleInfo name="Chest Rate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D129:D151" displayName="Table_10" name="Table_10" id="10">
  <tableColumns count="1">
    <tableColumn name="Column1" id="1"/>
  </tableColumns>
  <tableStyleInfo name="Chest Rate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D154:D176" displayName="Table_11" name="Table_11" id="11">
  <tableColumns count="1">
    <tableColumn name="Column1" id="1"/>
  </tableColumns>
  <tableStyleInfo name="Chest Rate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D179:D201" displayName="Table_12" name="Table_12" id="12">
  <tableColumns count="1">
    <tableColumn name="Column1" id="1"/>
  </tableColumns>
  <tableStyleInfo name="Chest Rate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D204:D226" displayName="Table_13" name="Table_13" id="13">
  <tableColumns count="1">
    <tableColumn name="Column1" id="1"/>
  </tableColumns>
  <tableStyleInfo name="Chest Rate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D229:D251" displayName="Table_14" name="Table_14" id="14">
  <tableColumns count="1">
    <tableColumn name="Column1" id="1"/>
  </tableColumns>
  <tableStyleInfo name="Chest Rate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D254:D276" displayName="Table_15" name="Table_15" id="15">
  <tableColumns count="1">
    <tableColumn name="Column1" id="1"/>
  </tableColumns>
  <tableStyleInfo name="Chest Rate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D279:D301" displayName="Table_16" name="Table_16" id="16">
  <tableColumns count="1">
    <tableColumn name="Column1" id="1"/>
  </tableColumns>
  <tableStyleInfo name="Chest Rates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D304:D326" displayName="Table_17" name="Table_17" id="17">
  <tableColumns count="1">
    <tableColumn name="Column1" id="1"/>
  </tableColumns>
  <tableStyleInfo name="Chest Rates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33" Type="http://schemas.openxmlformats.org/officeDocument/2006/relationships/table" Target="../tables/table17.xml"/><Relationship Id="rId21" Type="http://schemas.openxmlformats.org/officeDocument/2006/relationships/table" Target="../tables/table5.xml"/><Relationship Id="rId32" Type="http://schemas.openxmlformats.org/officeDocument/2006/relationships/table" Target="../tables/table16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2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3" width="6.88"/>
  </cols>
  <sheetData>
    <row r="1">
      <c r="A1" s="1"/>
      <c r="B1" s="1"/>
      <c r="C1" s="1"/>
      <c r="D1" s="2"/>
      <c r="E1" s="2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"/>
      <c r="C2" s="1"/>
      <c r="D2" s="2"/>
      <c r="E2" s="2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1"/>
      <c r="B3" s="3"/>
      <c r="D3" s="4" t="s">
        <v>0</v>
      </c>
      <c r="F3" s="5" t="s">
        <v>1</v>
      </c>
      <c r="H3" s="6" t="s">
        <v>2</v>
      </c>
      <c r="J3" s="7" t="s">
        <v>3</v>
      </c>
      <c r="L3" s="8" t="s">
        <v>4</v>
      </c>
      <c r="N3" s="9" t="s">
        <v>5</v>
      </c>
      <c r="P3" s="10" t="s">
        <v>6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1"/>
      <c r="B4" s="12" t="s">
        <v>7</v>
      </c>
      <c r="D4" s="4">
        <v>122880.0</v>
      </c>
      <c r="F4" s="5">
        <v>1024.0</v>
      </c>
      <c r="H4" s="6">
        <v>64.0</v>
      </c>
      <c r="J4" s="7"/>
      <c r="L4" s="8"/>
      <c r="N4" s="9"/>
      <c r="P4" s="10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1"/>
      <c r="B5" s="12" t="s">
        <v>8</v>
      </c>
      <c r="D5" s="4">
        <v>109600.0</v>
      </c>
      <c r="F5" s="5">
        <v>1024.0</v>
      </c>
      <c r="H5" s="6">
        <v>61.0</v>
      </c>
      <c r="J5" s="7">
        <v>11.0</v>
      </c>
      <c r="L5" s="8"/>
      <c r="N5" s="9"/>
      <c r="P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1"/>
      <c r="B6" s="12" t="s">
        <v>9</v>
      </c>
      <c r="D6" s="4">
        <v>15800.0</v>
      </c>
      <c r="F6" s="5">
        <v>2180.0</v>
      </c>
      <c r="H6" s="6">
        <v>158.0</v>
      </c>
      <c r="J6" s="7">
        <v>32.0</v>
      </c>
      <c r="L6" s="8"/>
      <c r="N6" s="9"/>
      <c r="P6" s="10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1"/>
      <c r="B7" s="12" t="s">
        <v>10</v>
      </c>
      <c r="D7" s="4">
        <v>1000.0</v>
      </c>
      <c r="F7" s="5">
        <v>530.0</v>
      </c>
      <c r="H7" s="6">
        <v>240.0</v>
      </c>
      <c r="J7" s="7">
        <v>27.0</v>
      </c>
      <c r="L7" s="8">
        <v>3.0</v>
      </c>
      <c r="N7" s="9"/>
      <c r="P7" s="10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1"/>
      <c r="B8" s="12" t="s">
        <v>16</v>
      </c>
      <c r="D8" s="4">
        <v>200.0</v>
      </c>
      <c r="F8" s="5">
        <v>26.0</v>
      </c>
      <c r="H8" s="6">
        <v>90.0</v>
      </c>
      <c r="J8" s="7">
        <v>69.0</v>
      </c>
      <c r="L8" s="8">
        <v>14.0</v>
      </c>
      <c r="N8" s="9">
        <v>1.0</v>
      </c>
      <c r="P8" s="10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27" t="s">
        <v>18</v>
      </c>
      <c r="D9" s="27">
        <v>400.0</v>
      </c>
      <c r="F9" s="28">
        <v>50.0</v>
      </c>
      <c r="H9" s="29">
        <v>240.0</v>
      </c>
      <c r="J9" s="30">
        <v>101.0</v>
      </c>
      <c r="L9" s="31">
        <v>8.0</v>
      </c>
      <c r="N9" s="32">
        <v>1.0</v>
      </c>
      <c r="P9" s="10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12" t="s">
        <v>19</v>
      </c>
      <c r="D12" s="3"/>
      <c r="E12" s="39">
        <v>1.0</v>
      </c>
      <c r="F12" s="40">
        <v>2.0</v>
      </c>
      <c r="G12" s="40">
        <v>3.0</v>
      </c>
      <c r="H12" s="41">
        <v>4.0</v>
      </c>
      <c r="I12" s="41">
        <v>5.0</v>
      </c>
      <c r="J12" s="41">
        <v>6.0</v>
      </c>
      <c r="K12" s="42">
        <v>7.0</v>
      </c>
      <c r="L12" s="42">
        <v>8.0</v>
      </c>
      <c r="M12" s="42">
        <v>9.0</v>
      </c>
      <c r="N12" s="42">
        <v>10.0</v>
      </c>
      <c r="O12" s="43">
        <v>11.0</v>
      </c>
      <c r="P12" s="43">
        <v>12.0</v>
      </c>
      <c r="Q12" s="43">
        <v>13.0</v>
      </c>
      <c r="R12" s="43">
        <v>14.0</v>
      </c>
      <c r="S12" s="43">
        <v>15.0</v>
      </c>
      <c r="T12" s="45">
        <v>16.0</v>
      </c>
      <c r="U12" s="45">
        <v>17.0</v>
      </c>
      <c r="V12" s="45">
        <v>18.0</v>
      </c>
      <c r="W12" s="45">
        <v>19.0</v>
      </c>
      <c r="X12" s="45">
        <v>20.0</v>
      </c>
      <c r="Y12" s="45">
        <v>21.0</v>
      </c>
      <c r="Z12" s="1"/>
      <c r="AA12" s="1"/>
      <c r="AB12" s="1"/>
      <c r="AC12" s="1"/>
      <c r="AD12" s="1"/>
      <c r="AE12" s="1"/>
      <c r="AF12" s="1"/>
      <c r="AG12" s="1"/>
    </row>
    <row r="13">
      <c r="A13" s="11"/>
      <c r="B13" s="12" t="s">
        <v>21</v>
      </c>
      <c r="D13" s="3"/>
      <c r="E13" s="39">
        <v>1.0</v>
      </c>
      <c r="F13" s="40">
        <v>4.0</v>
      </c>
      <c r="G13" s="40">
        <v>7.0</v>
      </c>
      <c r="H13" s="41">
        <v>19.0</v>
      </c>
      <c r="I13" s="41">
        <v>31.0</v>
      </c>
      <c r="J13" s="41">
        <v>43.0</v>
      </c>
      <c r="K13" s="42">
        <v>100.0</v>
      </c>
      <c r="L13" s="42">
        <v>157.0</v>
      </c>
      <c r="M13" s="42">
        <v>214.0</v>
      </c>
      <c r="N13" s="42">
        <v>271.0</v>
      </c>
      <c r="O13" s="43">
        <v>571.0</v>
      </c>
      <c r="P13" s="43">
        <v>871.0</v>
      </c>
      <c r="Q13" s="43">
        <v>1171.0</v>
      </c>
      <c r="R13" s="43">
        <v>1471.0</v>
      </c>
      <c r="S13" s="43">
        <v>1771.0</v>
      </c>
      <c r="T13" s="45">
        <v>3484.0</v>
      </c>
      <c r="U13" s="45">
        <v>5197.0</v>
      </c>
      <c r="V13" s="45">
        <v>6910.0</v>
      </c>
      <c r="W13" s="45">
        <v>8623.0</v>
      </c>
      <c r="X13" s="45">
        <v>10336.0</v>
      </c>
      <c r="Y13" s="45">
        <v>12049.0</v>
      </c>
      <c r="Z13" s="1"/>
      <c r="AA13" s="1"/>
      <c r="AB13" s="1"/>
      <c r="AC13" s="1"/>
      <c r="AD13" s="1"/>
      <c r="AE13" s="1"/>
      <c r="AF13" s="1"/>
      <c r="AG13" s="1"/>
    </row>
    <row r="14">
      <c r="A14" s="11"/>
      <c r="B14" s="12" t="s">
        <v>23</v>
      </c>
      <c r="D14" s="3"/>
      <c r="E14" s="39">
        <v>3.0</v>
      </c>
      <c r="F14" s="40">
        <v>3.0</v>
      </c>
      <c r="G14" s="40">
        <v>12.0</v>
      </c>
      <c r="H14" s="41">
        <v>12.0</v>
      </c>
      <c r="I14" s="41">
        <v>12.0</v>
      </c>
      <c r="J14" s="41">
        <v>57.0</v>
      </c>
      <c r="K14" s="42">
        <v>57.0</v>
      </c>
      <c r="L14" s="42">
        <v>57.0</v>
      </c>
      <c r="M14" s="42">
        <v>57.0</v>
      </c>
      <c r="N14" s="42">
        <v>300.0</v>
      </c>
      <c r="O14" s="43">
        <v>300.0</v>
      </c>
      <c r="P14" s="43">
        <v>300.0</v>
      </c>
      <c r="Q14" s="43">
        <v>300.0</v>
      </c>
      <c r="R14" s="43">
        <v>300.0</v>
      </c>
      <c r="S14" s="43">
        <v>1713.0</v>
      </c>
      <c r="T14" s="45">
        <v>1713.0</v>
      </c>
      <c r="U14" s="45">
        <v>1713.0</v>
      </c>
      <c r="V14" s="45">
        <v>1713.0</v>
      </c>
      <c r="W14" s="45">
        <v>1713.0</v>
      </c>
      <c r="X14" s="45">
        <v>1713.0</v>
      </c>
      <c r="Y14" s="51">
        <v>10452.0</v>
      </c>
      <c r="Z14" s="1"/>
      <c r="AA14" s="1"/>
      <c r="AB14" s="1"/>
      <c r="AC14" s="1"/>
      <c r="AD14" s="1"/>
      <c r="AE14" s="1"/>
      <c r="AF14" s="1"/>
      <c r="AG14" s="1"/>
    </row>
    <row r="15">
      <c r="A15" s="11"/>
      <c r="B15" s="12" t="s">
        <v>26</v>
      </c>
      <c r="D15" s="3"/>
      <c r="E15" s="52" t="s">
        <v>27</v>
      </c>
      <c r="F15" s="53" t="s">
        <v>27</v>
      </c>
      <c r="G15" s="53" t="s">
        <v>28</v>
      </c>
      <c r="H15" s="54" t="s">
        <v>28</v>
      </c>
      <c r="I15" s="54" t="s">
        <v>28</v>
      </c>
      <c r="J15" s="54" t="s">
        <v>29</v>
      </c>
      <c r="K15" s="55" t="s">
        <v>29</v>
      </c>
      <c r="L15" s="55" t="s">
        <v>29</v>
      </c>
      <c r="M15" s="55" t="s">
        <v>29</v>
      </c>
      <c r="N15" s="55" t="s">
        <v>31</v>
      </c>
      <c r="O15" s="56" t="s">
        <v>31</v>
      </c>
      <c r="P15" s="56" t="s">
        <v>31</v>
      </c>
      <c r="Q15" s="56" t="s">
        <v>31</v>
      </c>
      <c r="R15" s="56" t="s">
        <v>31</v>
      </c>
      <c r="S15" s="56" t="s">
        <v>32</v>
      </c>
      <c r="T15" s="57" t="s">
        <v>32</v>
      </c>
      <c r="U15" s="57" t="s">
        <v>32</v>
      </c>
      <c r="V15" s="57" t="s">
        <v>32</v>
      </c>
      <c r="W15" s="57" t="s">
        <v>32</v>
      </c>
      <c r="X15" s="57" t="s">
        <v>32</v>
      </c>
      <c r="Y15" s="57" t="s">
        <v>33</v>
      </c>
      <c r="Z15" s="1"/>
      <c r="AA15" s="1"/>
      <c r="AB15" s="1"/>
      <c r="AC15" s="1"/>
      <c r="AD15" s="1"/>
      <c r="AE15" s="1"/>
      <c r="AF15" s="1"/>
      <c r="AG15" s="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"/>
      <c r="AA16" s="1"/>
      <c r="AB16" s="1"/>
      <c r="AC16" s="1"/>
      <c r="AD16" s="1"/>
      <c r="AE16" s="1"/>
      <c r="AF16" s="1"/>
      <c r="AG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"/>
      <c r="AA17" s="1"/>
      <c r="AB17" s="1"/>
      <c r="AC17" s="1"/>
      <c r="AD17" s="1"/>
      <c r="AE17" s="1"/>
      <c r="AF17" s="1"/>
      <c r="AG17" s="1"/>
    </row>
    <row r="18">
      <c r="A18" s="1"/>
      <c r="B18" s="3"/>
      <c r="D18" s="12" t="s">
        <v>0</v>
      </c>
      <c r="E18" s="39" t="s">
        <v>1</v>
      </c>
      <c r="F18" s="6" t="s">
        <v>2</v>
      </c>
      <c r="H18" s="7" t="s">
        <v>3</v>
      </c>
      <c r="K18" s="8" t="s">
        <v>4</v>
      </c>
      <c r="O18" s="9" t="s">
        <v>5</v>
      </c>
      <c r="T18" s="10" t="s">
        <v>6</v>
      </c>
      <c r="Z18" s="1"/>
      <c r="AA18" s="1"/>
      <c r="AB18" s="1"/>
      <c r="AC18" s="1"/>
      <c r="AD18" s="1"/>
      <c r="AE18" s="1"/>
      <c r="AF18" s="1"/>
      <c r="AG18" s="1"/>
    </row>
    <row r="19">
      <c r="A19" s="1"/>
      <c r="B19" s="12" t="s">
        <v>7</v>
      </c>
      <c r="D19" s="66">
        <f t="shared" ref="D19:D24" si="1">IF(1-SUM(E19:T19) = 0, , 1-SUM(E19:T19))</f>
        <v>0.9911458333</v>
      </c>
      <c r="E19" s="67">
        <f t="shared" ref="E19:E24" si="2">IF(F4/$D4 = 0, , F4/$D4)</f>
        <v>0.008333333333</v>
      </c>
      <c r="F19" s="68">
        <f t="shared" ref="F19:F24" si="3">IF(H4/$D4 = 0, , H4/$D4)</f>
        <v>0.0005208333333</v>
      </c>
      <c r="H19" s="69" t="str">
        <f t="shared" ref="H19:H24" si="4">IF(J4/$D4 = 0, , J4/$D4)</f>
        <v/>
      </c>
      <c r="K19" s="70" t="str">
        <f t="shared" ref="K19:K24" si="5">IF(L4/$D4 = 0, , L4/$D4)</f>
        <v/>
      </c>
      <c r="O19" s="71" t="str">
        <f t="shared" ref="O19:O24" si="6">IF(N4/$D4 = 0, , N4/$D4)</f>
        <v/>
      </c>
      <c r="T19" s="72" t="str">
        <f t="shared" ref="T19:T23" si="7">IF(P4/$D4 = 0, , P4/$D4)</f>
        <v/>
      </c>
      <c r="Z19" s="1"/>
      <c r="AA19" s="1"/>
      <c r="AB19" s="1"/>
      <c r="AC19" s="1"/>
      <c r="AD19" s="1"/>
      <c r="AE19" s="1"/>
      <c r="AF19" s="1"/>
      <c r="AG19" s="1"/>
    </row>
    <row r="20">
      <c r="A20" s="73"/>
      <c r="B20" s="12" t="s">
        <v>8</v>
      </c>
      <c r="D20" s="66">
        <f t="shared" si="1"/>
        <v>0.99</v>
      </c>
      <c r="E20" s="67">
        <f t="shared" si="2"/>
        <v>0.009343065693</v>
      </c>
      <c r="F20" s="68">
        <f t="shared" si="3"/>
        <v>0.0005565693431</v>
      </c>
      <c r="H20" s="69">
        <f t="shared" si="4"/>
        <v>0.0001003649635</v>
      </c>
      <c r="K20" s="70" t="str">
        <f t="shared" si="5"/>
        <v/>
      </c>
      <c r="O20" s="71" t="str">
        <f t="shared" si="6"/>
        <v/>
      </c>
      <c r="T20" s="72" t="str">
        <f t="shared" si="7"/>
        <v/>
      </c>
      <c r="Z20" s="1"/>
      <c r="AA20" s="1"/>
      <c r="AB20" s="1"/>
      <c r="AC20" s="1"/>
      <c r="AD20" s="1"/>
      <c r="AE20" s="1"/>
      <c r="AF20" s="1"/>
      <c r="AG20" s="1"/>
    </row>
    <row r="21">
      <c r="A21" s="11"/>
      <c r="B21" s="12" t="s">
        <v>9</v>
      </c>
      <c r="D21" s="66">
        <f t="shared" si="1"/>
        <v>0.85</v>
      </c>
      <c r="E21" s="67">
        <f t="shared" si="2"/>
        <v>0.1379746835</v>
      </c>
      <c r="F21" s="68">
        <f t="shared" si="3"/>
        <v>0.01</v>
      </c>
      <c r="H21" s="69">
        <f t="shared" si="4"/>
        <v>0.002025316456</v>
      </c>
      <c r="K21" s="70" t="str">
        <f t="shared" si="5"/>
        <v/>
      </c>
      <c r="O21" s="71" t="str">
        <f t="shared" si="6"/>
        <v/>
      </c>
      <c r="T21" s="72" t="str">
        <f t="shared" si="7"/>
        <v/>
      </c>
      <c r="Z21" s="1"/>
      <c r="AA21" s="1"/>
      <c r="AB21" s="1"/>
      <c r="AC21" s="1"/>
      <c r="AD21" s="1"/>
      <c r="AE21" s="1"/>
      <c r="AF21" s="1"/>
      <c r="AG21" s="1"/>
    </row>
    <row r="22">
      <c r="A22" s="11"/>
      <c r="B22" s="12" t="s">
        <v>10</v>
      </c>
      <c r="D22" s="66">
        <f t="shared" si="1"/>
        <v>0.2</v>
      </c>
      <c r="E22" s="67">
        <f t="shared" si="2"/>
        <v>0.53</v>
      </c>
      <c r="F22" s="68">
        <f t="shared" si="3"/>
        <v>0.24</v>
      </c>
      <c r="H22" s="69">
        <f t="shared" si="4"/>
        <v>0.027</v>
      </c>
      <c r="K22" s="70">
        <f t="shared" si="5"/>
        <v>0.003</v>
      </c>
      <c r="O22" s="71" t="str">
        <f t="shared" si="6"/>
        <v/>
      </c>
      <c r="T22" s="72" t="str">
        <f t="shared" si="7"/>
        <v/>
      </c>
      <c r="Z22" s="1"/>
      <c r="AA22" s="1"/>
      <c r="AB22" s="1"/>
      <c r="AC22" s="1"/>
      <c r="AD22" s="1"/>
      <c r="AE22" s="1"/>
      <c r="AF22" s="1"/>
      <c r="AG22" s="1"/>
    </row>
    <row r="23">
      <c r="A23" s="11"/>
      <c r="B23" s="12" t="s">
        <v>16</v>
      </c>
      <c r="D23" s="66" t="str">
        <f t="shared" si="1"/>
        <v/>
      </c>
      <c r="E23" s="67">
        <f t="shared" si="2"/>
        <v>0.13</v>
      </c>
      <c r="F23" s="68">
        <f t="shared" si="3"/>
        <v>0.45</v>
      </c>
      <c r="H23" s="69">
        <f t="shared" si="4"/>
        <v>0.345</v>
      </c>
      <c r="K23" s="70">
        <f t="shared" si="5"/>
        <v>0.07</v>
      </c>
      <c r="O23" s="71">
        <f t="shared" si="6"/>
        <v>0.005</v>
      </c>
      <c r="T23" s="72" t="str">
        <f t="shared" si="7"/>
        <v/>
      </c>
      <c r="Z23" s="1"/>
      <c r="AA23" s="1"/>
      <c r="AB23" s="1"/>
      <c r="AC23" s="1"/>
      <c r="AD23" s="1"/>
      <c r="AE23" s="1"/>
      <c r="AF23" s="1"/>
      <c r="AG23" s="1"/>
    </row>
    <row r="24">
      <c r="A24" s="11"/>
      <c r="B24" s="27" t="s">
        <v>18</v>
      </c>
      <c r="D24" s="74" t="str">
        <f t="shared" si="1"/>
        <v/>
      </c>
      <c r="E24" s="62">
        <f t="shared" si="2"/>
        <v>0.125</v>
      </c>
      <c r="F24" s="63">
        <f t="shared" si="3"/>
        <v>0.6</v>
      </c>
      <c r="H24" s="75">
        <f t="shared" si="4"/>
        <v>0.2525</v>
      </c>
      <c r="K24" s="76">
        <f t="shared" si="5"/>
        <v>0.02</v>
      </c>
      <c r="O24" s="77">
        <f t="shared" si="6"/>
        <v>0.0025</v>
      </c>
      <c r="T24" s="79" t="str">
        <f>IF(U9/$D9 = 0, , U9/$D9)</f>
        <v/>
      </c>
      <c r="Z24" s="1"/>
      <c r="AA24" s="1"/>
      <c r="AB24" s="1"/>
      <c r="AC24" s="1"/>
      <c r="AD24" s="1"/>
      <c r="AE24" s="1"/>
      <c r="AF24" s="1"/>
      <c r="AG24" s="1"/>
    </row>
    <row r="25">
      <c r="A25" s="11"/>
      <c r="B25" s="1"/>
      <c r="C25" s="1"/>
      <c r="D25" s="80"/>
      <c r="E25" s="80"/>
      <c r="F25" s="80"/>
      <c r="G25" s="80"/>
      <c r="H25" s="80"/>
      <c r="I25" s="80"/>
      <c r="J25" s="8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1"/>
      <c r="B26" s="1"/>
      <c r="C26" s="1"/>
      <c r="D26" s="80"/>
      <c r="E26" s="80"/>
      <c r="F26" s="80"/>
      <c r="G26" s="80"/>
      <c r="H26" s="80"/>
      <c r="I26" s="80"/>
      <c r="J26" s="8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2" t="s">
        <v>19</v>
      </c>
      <c r="D27" s="12">
        <v>0.0</v>
      </c>
      <c r="E27" s="39">
        <v>1.0</v>
      </c>
      <c r="F27" s="6">
        <v>2.0</v>
      </c>
      <c r="G27" s="40">
        <v>3.0</v>
      </c>
      <c r="H27" s="41">
        <v>4.0</v>
      </c>
      <c r="I27" s="81">
        <v>5.0</v>
      </c>
      <c r="J27" s="41">
        <v>6.0</v>
      </c>
      <c r="K27" s="42">
        <v>7.0</v>
      </c>
      <c r="L27" s="8">
        <v>8.0</v>
      </c>
      <c r="M27" s="42">
        <v>9.0</v>
      </c>
      <c r="N27" s="42">
        <v>10.0</v>
      </c>
      <c r="O27" s="9">
        <v>11.0</v>
      </c>
      <c r="P27" s="43">
        <v>12.0</v>
      </c>
      <c r="Q27" s="43">
        <v>13.0</v>
      </c>
      <c r="R27" s="9">
        <v>14.0</v>
      </c>
      <c r="S27" s="43">
        <v>15.0</v>
      </c>
      <c r="T27" s="45">
        <v>16.0</v>
      </c>
      <c r="U27" s="10">
        <v>17.0</v>
      </c>
      <c r="V27" s="45">
        <v>18.0</v>
      </c>
      <c r="W27" s="45">
        <v>19.0</v>
      </c>
      <c r="X27" s="10">
        <v>20.0</v>
      </c>
      <c r="Y27" s="45">
        <v>21.0</v>
      </c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12" t="s">
        <v>7</v>
      </c>
      <c r="D28" s="66">
        <f t="shared" ref="D28:E28" si="8">IF(D19/1 = 0, ,D19/1)</f>
        <v>0.9911458333</v>
      </c>
      <c r="E28" s="83">
        <f t="shared" si="8"/>
        <v>0.008333333333</v>
      </c>
      <c r="F28" s="84">
        <f t="shared" ref="F28:F33" si="14">IF($F19-($F19*(0.1/(3-2))) = 0, , $F19-($F19*(0.1/(3-2))))</f>
        <v>0.00046875</v>
      </c>
      <c r="G28" s="85">
        <f t="shared" ref="G28:G33" si="15">IF($F19*(0.1/(3-2)) = 0, , $F19*(0.1/(3-2)))</f>
        <v>0.00005208333333</v>
      </c>
      <c r="H28" s="86" t="str">
        <f t="shared" ref="H28:I28" si="9">IF(($H19-($H19*(0.1/(6-4))))/2 = 0, , ($H19-($H19*(0.1/(6-4))))/2)</f>
        <v/>
      </c>
      <c r="I28" s="86" t="str">
        <f t="shared" si="9"/>
        <v/>
      </c>
      <c r="J28" s="87" t="str">
        <f t="shared" ref="J28:J33" si="17">IF($H19*(0.1/(6-4)) = 0, , $H19*(0.1/(6-4)))</f>
        <v/>
      </c>
      <c r="K28" s="89" t="str">
        <f t="shared" ref="K28:M28" si="10">IF(($K19-($K19*(0.1/(10-7))))/3 = 0, , ($K19-($K19*(0.1/(10-7))))/3)</f>
        <v/>
      </c>
      <c r="L28" s="70" t="str">
        <f t="shared" si="10"/>
        <v/>
      </c>
      <c r="M28" s="70" t="str">
        <f t="shared" si="10"/>
        <v/>
      </c>
      <c r="N28" s="70" t="str">
        <f t="shared" ref="N28:N33" si="19">IF($K19*(0.1/(10-7)) = 0, , $K19*(0.1/(10-7)))</f>
        <v/>
      </c>
      <c r="O28" s="71" t="str">
        <f t="shared" ref="O28:R28" si="11">IF(($O19-($O19*(0.1/(6-4))))/4 = 0, , ($O19-($O19*(0.1/(6-4))))/4)</f>
        <v/>
      </c>
      <c r="P28" s="71" t="str">
        <f t="shared" si="11"/>
        <v/>
      </c>
      <c r="Q28" s="71" t="str">
        <f t="shared" si="11"/>
        <v/>
      </c>
      <c r="R28" s="71" t="str">
        <f t="shared" si="11"/>
        <v/>
      </c>
      <c r="S28" s="71" t="str">
        <f t="shared" ref="S28:S33" si="21">IF(O19*(0.1/(15-11)) = 0, , O19*(0.1/(15-11)))</f>
        <v/>
      </c>
      <c r="T28" s="72" t="str">
        <f t="shared" ref="T28:X28" si="12">IF(($T19-($T19*(0.1/(6-4))))/5 = 0, , ($T19-($T19*(0.1/(6-4))))/5)</f>
        <v/>
      </c>
      <c r="U28" s="72" t="str">
        <f t="shared" si="12"/>
        <v/>
      </c>
      <c r="V28" s="72" t="str">
        <f t="shared" si="12"/>
        <v/>
      </c>
      <c r="W28" s="72" t="str">
        <f t="shared" si="12"/>
        <v/>
      </c>
      <c r="X28" s="72" t="str">
        <f t="shared" si="12"/>
        <v/>
      </c>
      <c r="Y28" s="72" t="str">
        <f t="shared" ref="Y28:Y33" si="23">IF(T19*(0.1/(21-16)) = 0, , T19*(0.1/(21-16)))</f>
        <v/>
      </c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2" t="s">
        <v>8</v>
      </c>
      <c r="D29" s="66">
        <f t="shared" ref="D29:E29" si="13">IF(D20/1 = 0, ,D20/1)</f>
        <v>0.99</v>
      </c>
      <c r="E29" s="83">
        <f t="shared" si="13"/>
        <v>0.009343065693</v>
      </c>
      <c r="F29" s="68">
        <f t="shared" si="14"/>
        <v>0.0005009124088</v>
      </c>
      <c r="G29" s="85">
        <f t="shared" si="15"/>
        <v>0.00005565693431</v>
      </c>
      <c r="H29" s="90">
        <f t="shared" ref="H29:I29" si="16">IF(($H20-($H20*(0.1/(6-4))))/2 = 0, , ($H20-($H20*(0.1/(6-4))))/2)</f>
        <v>0.00004767335766</v>
      </c>
      <c r="I29" s="90">
        <f t="shared" si="16"/>
        <v>0.00004767335766</v>
      </c>
      <c r="J29" s="91">
        <f t="shared" si="17"/>
        <v>0.000005018248175</v>
      </c>
      <c r="K29" s="89" t="str">
        <f t="shared" ref="K29:M29" si="18">IF(($K20-($K20*(0.1/(10-7))))/3 = 0, , ($K20-($K20*(0.1/(10-7))))/3)</f>
        <v/>
      </c>
      <c r="L29" s="70" t="str">
        <f t="shared" si="18"/>
        <v/>
      </c>
      <c r="M29" s="70" t="str">
        <f t="shared" si="18"/>
        <v/>
      </c>
      <c r="N29" s="70" t="str">
        <f t="shared" si="19"/>
        <v/>
      </c>
      <c r="O29" s="71" t="str">
        <f t="shared" ref="O29:R29" si="20">IF(($O20-($O20*(0.1/(6-4))))/4 = 0, , ($O20-($O20*(0.1/(6-4))))/4)</f>
        <v/>
      </c>
      <c r="P29" s="71" t="str">
        <f t="shared" si="20"/>
        <v/>
      </c>
      <c r="Q29" s="71" t="str">
        <f t="shared" si="20"/>
        <v/>
      </c>
      <c r="R29" s="71" t="str">
        <f t="shared" si="20"/>
        <v/>
      </c>
      <c r="S29" s="71" t="str">
        <f t="shared" si="21"/>
        <v/>
      </c>
      <c r="T29" s="72" t="str">
        <f t="shared" ref="T29:X29" si="22">IF(($T20-($T20*(0.1/(6-4))))/5 = 0, , ($T20-($T20*(0.1/(6-4))))/5)</f>
        <v/>
      </c>
      <c r="U29" s="72" t="str">
        <f t="shared" si="22"/>
        <v/>
      </c>
      <c r="V29" s="72" t="str">
        <f t="shared" si="22"/>
        <v/>
      </c>
      <c r="W29" s="72" t="str">
        <f t="shared" si="22"/>
        <v/>
      </c>
      <c r="X29" s="72" t="str">
        <f t="shared" si="22"/>
        <v/>
      </c>
      <c r="Y29" s="72" t="str">
        <f t="shared" si="23"/>
        <v/>
      </c>
      <c r="Z29" s="1"/>
      <c r="AA29" s="1"/>
      <c r="AB29" s="1"/>
      <c r="AC29" s="1"/>
      <c r="AD29" s="1"/>
      <c r="AE29" s="1"/>
      <c r="AF29" s="1"/>
      <c r="AG29" s="1"/>
    </row>
    <row r="30">
      <c r="A30" s="11"/>
      <c r="B30" s="12" t="s">
        <v>9</v>
      </c>
      <c r="D30" s="66">
        <f t="shared" ref="D30:E30" si="24">IF(D21/1 = 0, ,D21/1)</f>
        <v>0.85</v>
      </c>
      <c r="E30" s="92">
        <f t="shared" si="24"/>
        <v>0.1379746835</v>
      </c>
      <c r="F30" s="68">
        <f t="shared" si="14"/>
        <v>0.009</v>
      </c>
      <c r="G30" s="93">
        <f t="shared" si="15"/>
        <v>0.001</v>
      </c>
      <c r="H30" s="86">
        <f t="shared" ref="H30:I30" si="25">IF(($H21-($H21*(0.1/(6-4))))/2 = 0, , ($H21-($H21*(0.1/(6-4))))/2)</f>
        <v>0.0009620253165</v>
      </c>
      <c r="I30" s="86">
        <f t="shared" si="25"/>
        <v>0.0009620253165</v>
      </c>
      <c r="J30" s="87">
        <f t="shared" si="17"/>
        <v>0.0001012658228</v>
      </c>
      <c r="K30" s="89" t="str">
        <f t="shared" ref="K30:M30" si="26">IF(($K21-($K21*(0.1/(10-7))))/3 = 0, , ($K21-($K21*(0.1/(10-7))))/3)</f>
        <v/>
      </c>
      <c r="L30" s="70" t="str">
        <f t="shared" si="26"/>
        <v/>
      </c>
      <c r="M30" s="70" t="str">
        <f t="shared" si="26"/>
        <v/>
      </c>
      <c r="N30" s="70" t="str">
        <f t="shared" si="19"/>
        <v/>
      </c>
      <c r="O30" s="71" t="str">
        <f t="shared" ref="O30:R30" si="27">IF(($O21-($O21*(0.1/(6-4))))/4 = 0, , ($O21-($O21*(0.1/(6-4))))/4)</f>
        <v/>
      </c>
      <c r="P30" s="71" t="str">
        <f t="shared" si="27"/>
        <v/>
      </c>
      <c r="Q30" s="71" t="str">
        <f t="shared" si="27"/>
        <v/>
      </c>
      <c r="R30" s="71" t="str">
        <f t="shared" si="27"/>
        <v/>
      </c>
      <c r="S30" s="71" t="str">
        <f t="shared" si="21"/>
        <v/>
      </c>
      <c r="T30" s="72" t="str">
        <f t="shared" ref="T30:X30" si="28">IF(($T21-($T21*(0.1/(6-4))))/5 = 0, , ($T21-($T21*(0.1/(6-4))))/5)</f>
        <v/>
      </c>
      <c r="U30" s="72" t="str">
        <f t="shared" si="28"/>
        <v/>
      </c>
      <c r="V30" s="72" t="str">
        <f t="shared" si="28"/>
        <v/>
      </c>
      <c r="W30" s="72" t="str">
        <f t="shared" si="28"/>
        <v/>
      </c>
      <c r="X30" s="72" t="str">
        <f t="shared" si="28"/>
        <v/>
      </c>
      <c r="Y30" s="72" t="str">
        <f t="shared" si="23"/>
        <v/>
      </c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2" t="s">
        <v>10</v>
      </c>
      <c r="D31" s="66">
        <f t="shared" ref="D31:E31" si="29">IF(D22/1 = 0, ,D22/1)</f>
        <v>0.2</v>
      </c>
      <c r="E31" s="92">
        <f t="shared" si="29"/>
        <v>0.53</v>
      </c>
      <c r="F31" s="68">
        <f t="shared" si="14"/>
        <v>0.216</v>
      </c>
      <c r="G31" s="93">
        <f t="shared" si="15"/>
        <v>0.024</v>
      </c>
      <c r="H31" s="86">
        <f t="shared" ref="H31:I31" si="30">IF(($H22-($H22*(0.1/(6-4))))/2 = 0, , ($H22-($H22*(0.1/(6-4))))/2)</f>
        <v>0.012825</v>
      </c>
      <c r="I31" s="86">
        <f t="shared" si="30"/>
        <v>0.012825</v>
      </c>
      <c r="J31" s="87">
        <f t="shared" si="17"/>
        <v>0.00135</v>
      </c>
      <c r="K31" s="89">
        <f t="shared" ref="K31:M31" si="31">IF(($K22-($K22*(0.1/(10-7))))/3 = 0, , ($K22-($K22*(0.1/(10-7))))/3)</f>
        <v>0.0009666666667</v>
      </c>
      <c r="L31" s="70">
        <f t="shared" si="31"/>
        <v>0.0009666666667</v>
      </c>
      <c r="M31" s="70">
        <f t="shared" si="31"/>
        <v>0.0009666666667</v>
      </c>
      <c r="N31" s="70">
        <f t="shared" si="19"/>
        <v>0.0001</v>
      </c>
      <c r="O31" s="71" t="str">
        <f t="shared" ref="O31:R31" si="32">IF(($O22-($O22*(0.1/(6-4))))/4 = 0, , ($O22-($O22*(0.1/(6-4))))/4)</f>
        <v/>
      </c>
      <c r="P31" s="71" t="str">
        <f t="shared" si="32"/>
        <v/>
      </c>
      <c r="Q31" s="71" t="str">
        <f t="shared" si="32"/>
        <v/>
      </c>
      <c r="R31" s="71" t="str">
        <f t="shared" si="32"/>
        <v/>
      </c>
      <c r="S31" s="71" t="str">
        <f t="shared" si="21"/>
        <v/>
      </c>
      <c r="T31" s="72" t="str">
        <f t="shared" ref="T31:X31" si="33">IF(($T22-($T22*(0.1/(6-4))))/5 = 0, , ($T22-($T22*(0.1/(6-4))))/5)</f>
        <v/>
      </c>
      <c r="U31" s="72" t="str">
        <f t="shared" si="33"/>
        <v/>
      </c>
      <c r="V31" s="72" t="str">
        <f t="shared" si="33"/>
        <v/>
      </c>
      <c r="W31" s="72" t="str">
        <f t="shared" si="33"/>
        <v/>
      </c>
      <c r="X31" s="72" t="str">
        <f t="shared" si="33"/>
        <v/>
      </c>
      <c r="Y31" s="72" t="str">
        <f t="shared" si="23"/>
        <v/>
      </c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 t="s">
        <v>16</v>
      </c>
      <c r="D32" s="66" t="str">
        <f t="shared" ref="D32:E32" si="34">IF(D23/1 = 0, ,D23/1)</f>
        <v/>
      </c>
      <c r="E32" s="92">
        <f t="shared" si="34"/>
        <v>0.13</v>
      </c>
      <c r="F32" s="68">
        <f t="shared" si="14"/>
        <v>0.405</v>
      </c>
      <c r="G32" s="93">
        <f t="shared" si="15"/>
        <v>0.045</v>
      </c>
      <c r="H32" s="86">
        <f t="shared" ref="H32:I32" si="35">IF(($H23-($H23*(0.1/(6-4))))/2 = 0, , ($H23-($H23*(0.1/(6-4))))/2)</f>
        <v>0.163875</v>
      </c>
      <c r="I32" s="86">
        <f t="shared" si="35"/>
        <v>0.163875</v>
      </c>
      <c r="J32" s="87">
        <f t="shared" si="17"/>
        <v>0.01725</v>
      </c>
      <c r="K32" s="89">
        <f t="shared" ref="K32:M32" si="36">IF(($K23-($K23*(0.1/(10-7))))/3 = 0, , ($K23-($K23*(0.1/(10-7))))/3)</f>
        <v>0.02255555556</v>
      </c>
      <c r="L32" s="70">
        <f t="shared" si="36"/>
        <v>0.02255555556</v>
      </c>
      <c r="M32" s="70">
        <f t="shared" si="36"/>
        <v>0.02255555556</v>
      </c>
      <c r="N32" s="70">
        <f t="shared" si="19"/>
        <v>0.002333333333</v>
      </c>
      <c r="O32" s="71">
        <f t="shared" ref="O32:R32" si="37">IF(($O23-($O23*(0.1/(6-4))))/4 = 0, , ($O23-($O23*(0.1/(6-4))))/4)</f>
        <v>0.0011875</v>
      </c>
      <c r="P32" s="71">
        <f t="shared" si="37"/>
        <v>0.0011875</v>
      </c>
      <c r="Q32" s="71">
        <f t="shared" si="37"/>
        <v>0.0011875</v>
      </c>
      <c r="R32" s="71">
        <f t="shared" si="37"/>
        <v>0.0011875</v>
      </c>
      <c r="S32" s="71">
        <f t="shared" si="21"/>
        <v>0.000125</v>
      </c>
      <c r="T32" s="72" t="str">
        <f t="shared" ref="T32:X32" si="38">IF(($T23-($T23*(0.1/(6-4))))/5 = 0, , ($T23-($T23*(0.1/(6-4))))/5)</f>
        <v/>
      </c>
      <c r="U32" s="72" t="str">
        <f t="shared" si="38"/>
        <v/>
      </c>
      <c r="V32" s="72" t="str">
        <f t="shared" si="38"/>
        <v/>
      </c>
      <c r="W32" s="72" t="str">
        <f t="shared" si="38"/>
        <v/>
      </c>
      <c r="X32" s="72" t="str">
        <f t="shared" si="38"/>
        <v/>
      </c>
      <c r="Y32" s="72" t="str">
        <f t="shared" si="23"/>
        <v/>
      </c>
      <c r="Z32" s="1"/>
      <c r="AA32" s="1"/>
      <c r="AB32" s="1"/>
      <c r="AC32" s="1"/>
      <c r="AD32" s="1"/>
      <c r="AE32" s="1"/>
      <c r="AF32" s="1"/>
      <c r="AG32" s="1"/>
    </row>
    <row r="33">
      <c r="A33" s="107"/>
      <c r="B33" s="27" t="s">
        <v>18</v>
      </c>
      <c r="D33" s="74" t="str">
        <f t="shared" ref="D33:E33" si="39">IF(D24/1 = 0, ,D24/1)</f>
        <v/>
      </c>
      <c r="E33" s="62">
        <f t="shared" si="39"/>
        <v>0.125</v>
      </c>
      <c r="F33" s="63">
        <f t="shared" si="14"/>
        <v>0.54</v>
      </c>
      <c r="G33" s="63">
        <f t="shared" si="15"/>
        <v>0.06</v>
      </c>
      <c r="H33" s="75">
        <f t="shared" ref="H33:I33" si="40">IF(($H24-($H24*(0.1/(6-4))))/2 = 0, , ($H24-($H24*(0.1/(6-4))))/2)</f>
        <v>0.1199375</v>
      </c>
      <c r="I33" s="75">
        <f t="shared" si="40"/>
        <v>0.1199375</v>
      </c>
      <c r="J33" s="75">
        <f t="shared" si="17"/>
        <v>0.012625</v>
      </c>
      <c r="K33" s="76">
        <f t="shared" ref="K33:M33" si="41">IF(($K24-($K24*(0.1/(10-7))))/3 = 0, , ($K24-($K24*(0.1/(10-7))))/3)</f>
        <v>0.006444444444</v>
      </c>
      <c r="L33" s="76">
        <f t="shared" si="41"/>
        <v>0.006444444444</v>
      </c>
      <c r="M33" s="76">
        <f t="shared" si="41"/>
        <v>0.006444444444</v>
      </c>
      <c r="N33" s="76">
        <f t="shared" si="19"/>
        <v>0.0006666666667</v>
      </c>
      <c r="O33" s="77">
        <f t="shared" ref="O33:R33" si="42">IF(($O24-($O24*(0.1/(6-4))))/4 = 0, , ($O24-($O24*(0.1/(6-4))))/4)</f>
        <v>0.00059375</v>
      </c>
      <c r="P33" s="77">
        <f t="shared" si="42"/>
        <v>0.00059375</v>
      </c>
      <c r="Q33" s="77">
        <f t="shared" si="42"/>
        <v>0.00059375</v>
      </c>
      <c r="R33" s="77">
        <f t="shared" si="42"/>
        <v>0.00059375</v>
      </c>
      <c r="S33" s="77">
        <f t="shared" si="21"/>
        <v>0.0000625</v>
      </c>
      <c r="T33" s="79" t="str">
        <f t="shared" ref="T33:X33" si="43">IF(($T24-($T24*(0.1/(6-4))))/5 = 0, , ($T24-($T24*(0.1/(6-4))))/5)</f>
        <v/>
      </c>
      <c r="U33" s="79" t="str">
        <f t="shared" si="43"/>
        <v/>
      </c>
      <c r="V33" s="79" t="str">
        <f t="shared" si="43"/>
        <v/>
      </c>
      <c r="W33" s="79" t="str">
        <f t="shared" si="43"/>
        <v/>
      </c>
      <c r="X33" s="79" t="str">
        <f t="shared" si="43"/>
        <v/>
      </c>
      <c r="Y33" s="79" t="str">
        <f t="shared" si="23"/>
        <v/>
      </c>
      <c r="Z33" s="107"/>
      <c r="AA33" s="107"/>
      <c r="AB33" s="107"/>
      <c r="AC33" s="107"/>
      <c r="AD33" s="107"/>
      <c r="AE33" s="107"/>
      <c r="AF33" s="107"/>
      <c r="AG33" s="107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10" t="s">
        <v>43</v>
      </c>
      <c r="D35" s="110" t="s">
        <v>21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11"/>
      <c r="E36" s="39">
        <v>1.0</v>
      </c>
      <c r="F36" s="40">
        <v>2.0</v>
      </c>
      <c r="G36" s="40">
        <v>3.0</v>
      </c>
      <c r="H36" s="41">
        <v>4.0</v>
      </c>
      <c r="I36" s="41">
        <v>5.0</v>
      </c>
      <c r="J36" s="41">
        <v>6.0</v>
      </c>
      <c r="K36" s="42">
        <v>7.0</v>
      </c>
      <c r="L36" s="42">
        <v>8.0</v>
      </c>
      <c r="M36" s="42">
        <v>9.0</v>
      </c>
      <c r="N36" s="42">
        <v>10.0</v>
      </c>
      <c r="O36" s="43">
        <v>11.0</v>
      </c>
      <c r="P36" s="43">
        <v>12.0</v>
      </c>
      <c r="Q36" s="43">
        <v>13.0</v>
      </c>
      <c r="R36" s="43">
        <v>14.0</v>
      </c>
      <c r="S36" s="43">
        <v>15.0</v>
      </c>
      <c r="T36" s="45">
        <v>16.0</v>
      </c>
      <c r="U36" s="45">
        <v>17.0</v>
      </c>
      <c r="V36" s="45">
        <v>18.0</v>
      </c>
      <c r="W36" s="45">
        <v>19.0</v>
      </c>
      <c r="X36" s="45">
        <v>20.0</v>
      </c>
      <c r="Y36" s="45">
        <v>21.0</v>
      </c>
      <c r="Z36" s="1"/>
      <c r="AA36" s="1"/>
      <c r="AB36" s="1"/>
      <c r="AC36" s="1"/>
      <c r="AD36" s="1"/>
      <c r="AE36" s="1"/>
      <c r="AF36" s="1"/>
      <c r="AG36" s="1"/>
    </row>
    <row r="37">
      <c r="A37" s="111"/>
      <c r="B37" s="12" t="s">
        <v>7</v>
      </c>
      <c r="D37" s="112">
        <f t="shared" ref="D37:D42" si="45">sum(E37:Y37)</f>
        <v>0.01057291667</v>
      </c>
      <c r="E37" s="113">
        <f t="shared" ref="E37:Y37" si="44">IF(E$13*E28 = 0, ,E$13*E28)</f>
        <v>0.008333333333</v>
      </c>
      <c r="F37" s="114">
        <f t="shared" si="44"/>
        <v>0.001875</v>
      </c>
      <c r="G37" s="115">
        <f t="shared" si="44"/>
        <v>0.0003645833333</v>
      </c>
      <c r="H37" s="116" t="str">
        <f t="shared" si="44"/>
        <v/>
      </c>
      <c r="I37" s="116" t="str">
        <f t="shared" si="44"/>
        <v/>
      </c>
      <c r="J37" s="116" t="str">
        <f t="shared" si="44"/>
        <v/>
      </c>
      <c r="K37" s="117" t="str">
        <f t="shared" si="44"/>
        <v/>
      </c>
      <c r="L37" s="117" t="str">
        <f t="shared" si="44"/>
        <v/>
      </c>
      <c r="M37" s="117" t="str">
        <f t="shared" si="44"/>
        <v/>
      </c>
      <c r="N37" s="117" t="str">
        <f t="shared" si="44"/>
        <v/>
      </c>
      <c r="O37" s="118" t="str">
        <f t="shared" si="44"/>
        <v/>
      </c>
      <c r="P37" s="118" t="str">
        <f t="shared" si="44"/>
        <v/>
      </c>
      <c r="Q37" s="118" t="str">
        <f t="shared" si="44"/>
        <v/>
      </c>
      <c r="R37" s="118" t="str">
        <f t="shared" si="44"/>
        <v/>
      </c>
      <c r="S37" s="118" t="str">
        <f t="shared" si="44"/>
        <v/>
      </c>
      <c r="T37" s="119" t="str">
        <f t="shared" si="44"/>
        <v/>
      </c>
      <c r="U37" s="119" t="str">
        <f t="shared" si="44"/>
        <v/>
      </c>
      <c r="V37" s="119" t="str">
        <f t="shared" si="44"/>
        <v/>
      </c>
      <c r="W37" s="119" t="str">
        <f t="shared" si="44"/>
        <v/>
      </c>
      <c r="X37" s="119" t="str">
        <f t="shared" si="44"/>
        <v/>
      </c>
      <c r="Y37" s="119" t="str">
        <f t="shared" si="44"/>
        <v/>
      </c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2" t="s">
        <v>8</v>
      </c>
      <c r="D38" s="112">
        <f t="shared" si="45"/>
        <v>0.01433576642</v>
      </c>
      <c r="E38" s="113">
        <f t="shared" ref="E38:Y38" si="46">IF(E$13*E29 = 0, ,E$13*E29)</f>
        <v>0.009343065693</v>
      </c>
      <c r="F38" s="114">
        <f t="shared" si="46"/>
        <v>0.002003649635</v>
      </c>
      <c r="G38" s="115">
        <f t="shared" si="46"/>
        <v>0.0003895985401</v>
      </c>
      <c r="H38" s="116">
        <f t="shared" si="46"/>
        <v>0.0009057937956</v>
      </c>
      <c r="I38" s="116">
        <f t="shared" si="46"/>
        <v>0.001477874088</v>
      </c>
      <c r="J38" s="122">
        <f t="shared" si="46"/>
        <v>0.0002157846715</v>
      </c>
      <c r="K38" s="117" t="str">
        <f t="shared" si="46"/>
        <v/>
      </c>
      <c r="L38" s="117" t="str">
        <f t="shared" si="46"/>
        <v/>
      </c>
      <c r="M38" s="117" t="str">
        <f t="shared" si="46"/>
        <v/>
      </c>
      <c r="N38" s="117" t="str">
        <f t="shared" si="46"/>
        <v/>
      </c>
      <c r="O38" s="118" t="str">
        <f t="shared" si="46"/>
        <v/>
      </c>
      <c r="P38" s="118" t="str">
        <f t="shared" si="46"/>
        <v/>
      </c>
      <c r="Q38" s="118" t="str">
        <f t="shared" si="46"/>
        <v/>
      </c>
      <c r="R38" s="118" t="str">
        <f t="shared" si="46"/>
        <v/>
      </c>
      <c r="S38" s="118" t="str">
        <f t="shared" si="46"/>
        <v/>
      </c>
      <c r="T38" s="119" t="str">
        <f t="shared" si="46"/>
        <v/>
      </c>
      <c r="U38" s="119" t="str">
        <f t="shared" si="46"/>
        <v/>
      </c>
      <c r="V38" s="119" t="str">
        <f t="shared" si="46"/>
        <v/>
      </c>
      <c r="W38" s="119" t="str">
        <f t="shared" si="46"/>
        <v/>
      </c>
      <c r="X38" s="119" t="str">
        <f t="shared" si="46"/>
        <v/>
      </c>
      <c r="Y38" s="119" t="str">
        <f t="shared" si="46"/>
        <v/>
      </c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2" t="s">
        <v>9</v>
      </c>
      <c r="D39" s="112">
        <f t="shared" si="45"/>
        <v>0.2334303797</v>
      </c>
      <c r="E39" s="113">
        <f t="shared" ref="E39:Y39" si="47">IF(E$13*E30 = 0, ,E$13*E30)</f>
        <v>0.1379746835</v>
      </c>
      <c r="F39" s="114">
        <f t="shared" si="47"/>
        <v>0.036</v>
      </c>
      <c r="G39" s="114">
        <f t="shared" si="47"/>
        <v>0.007</v>
      </c>
      <c r="H39" s="116">
        <f t="shared" si="47"/>
        <v>0.01827848101</v>
      </c>
      <c r="I39" s="116">
        <f t="shared" si="47"/>
        <v>0.02982278481</v>
      </c>
      <c r="J39" s="116">
        <f t="shared" si="47"/>
        <v>0.00435443038</v>
      </c>
      <c r="K39" s="117" t="str">
        <f t="shared" si="47"/>
        <v/>
      </c>
      <c r="L39" s="117" t="str">
        <f t="shared" si="47"/>
        <v/>
      </c>
      <c r="M39" s="117" t="str">
        <f t="shared" si="47"/>
        <v/>
      </c>
      <c r="N39" s="117" t="str">
        <f t="shared" si="47"/>
        <v/>
      </c>
      <c r="O39" s="118" t="str">
        <f t="shared" si="47"/>
        <v/>
      </c>
      <c r="P39" s="118" t="str">
        <f t="shared" si="47"/>
        <v/>
      </c>
      <c r="Q39" s="118" t="str">
        <f t="shared" si="47"/>
        <v/>
      </c>
      <c r="R39" s="118" t="str">
        <f t="shared" si="47"/>
        <v/>
      </c>
      <c r="S39" s="118" t="str">
        <f t="shared" si="47"/>
        <v/>
      </c>
      <c r="T39" s="119" t="str">
        <f t="shared" si="47"/>
        <v/>
      </c>
      <c r="U39" s="119" t="str">
        <f t="shared" si="47"/>
        <v/>
      </c>
      <c r="V39" s="119" t="str">
        <f t="shared" si="47"/>
        <v/>
      </c>
      <c r="W39" s="119" t="str">
        <f t="shared" si="47"/>
        <v/>
      </c>
      <c r="X39" s="119" t="str">
        <f t="shared" si="47"/>
        <v/>
      </c>
      <c r="Y39" s="119" t="str">
        <f t="shared" si="47"/>
        <v/>
      </c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2" t="s">
        <v>10</v>
      </c>
      <c r="D40" s="112">
        <f t="shared" si="45"/>
        <v>2.7437</v>
      </c>
      <c r="E40" s="113">
        <f t="shared" ref="E40:Y40" si="48">IF(E$13*E31 = 0, ,E$13*E31)</f>
        <v>0.53</v>
      </c>
      <c r="F40" s="114">
        <f t="shared" si="48"/>
        <v>0.864</v>
      </c>
      <c r="G40" s="114">
        <f t="shared" si="48"/>
        <v>0.168</v>
      </c>
      <c r="H40" s="116">
        <f t="shared" si="48"/>
        <v>0.243675</v>
      </c>
      <c r="I40" s="116">
        <f t="shared" si="48"/>
        <v>0.397575</v>
      </c>
      <c r="J40" s="116">
        <f t="shared" si="48"/>
        <v>0.05805</v>
      </c>
      <c r="K40" s="117">
        <f t="shared" si="48"/>
        <v>0.09666666667</v>
      </c>
      <c r="L40" s="117">
        <f t="shared" si="48"/>
        <v>0.1517666667</v>
      </c>
      <c r="M40" s="117">
        <f t="shared" si="48"/>
        <v>0.2068666667</v>
      </c>
      <c r="N40" s="117">
        <f t="shared" si="48"/>
        <v>0.0271</v>
      </c>
      <c r="O40" s="118" t="str">
        <f t="shared" si="48"/>
        <v/>
      </c>
      <c r="P40" s="118" t="str">
        <f t="shared" si="48"/>
        <v/>
      </c>
      <c r="Q40" s="118" t="str">
        <f t="shared" si="48"/>
        <v/>
      </c>
      <c r="R40" s="118" t="str">
        <f t="shared" si="48"/>
        <v/>
      </c>
      <c r="S40" s="118" t="str">
        <f t="shared" si="48"/>
        <v/>
      </c>
      <c r="T40" s="119" t="str">
        <f t="shared" si="48"/>
        <v/>
      </c>
      <c r="U40" s="119" t="str">
        <f t="shared" si="48"/>
        <v/>
      </c>
      <c r="V40" s="119" t="str">
        <f t="shared" si="48"/>
        <v/>
      </c>
      <c r="W40" s="119" t="str">
        <f t="shared" si="48"/>
        <v/>
      </c>
      <c r="X40" s="119" t="str">
        <f t="shared" si="48"/>
        <v/>
      </c>
      <c r="Y40" s="119" t="str">
        <f t="shared" si="48"/>
        <v/>
      </c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2" t="s">
        <v>16</v>
      </c>
      <c r="D41" s="112">
        <f t="shared" si="45"/>
        <v>27.327625</v>
      </c>
      <c r="E41" s="113">
        <f t="shared" ref="E41:Y41" si="49">IF(E$13*E32 = 0, ,E$13*E32)</f>
        <v>0.13</v>
      </c>
      <c r="F41" s="114">
        <f t="shared" si="49"/>
        <v>1.62</v>
      </c>
      <c r="G41" s="114">
        <f t="shared" si="49"/>
        <v>0.315</v>
      </c>
      <c r="H41" s="116">
        <f t="shared" si="49"/>
        <v>3.113625</v>
      </c>
      <c r="I41" s="116">
        <f t="shared" si="49"/>
        <v>5.080125</v>
      </c>
      <c r="J41" s="116">
        <f t="shared" si="49"/>
        <v>0.74175</v>
      </c>
      <c r="K41" s="117">
        <f t="shared" si="49"/>
        <v>2.255555556</v>
      </c>
      <c r="L41" s="117">
        <f t="shared" si="49"/>
        <v>3.541222222</v>
      </c>
      <c r="M41" s="117">
        <f t="shared" si="49"/>
        <v>4.826888889</v>
      </c>
      <c r="N41" s="117">
        <f t="shared" si="49"/>
        <v>0.6323333333</v>
      </c>
      <c r="O41" s="118">
        <f t="shared" si="49"/>
        <v>0.6780625</v>
      </c>
      <c r="P41" s="118">
        <f t="shared" si="49"/>
        <v>1.0343125</v>
      </c>
      <c r="Q41" s="118">
        <f t="shared" si="49"/>
        <v>1.3905625</v>
      </c>
      <c r="R41" s="118">
        <f t="shared" si="49"/>
        <v>1.7468125</v>
      </c>
      <c r="S41" s="118">
        <f t="shared" si="49"/>
        <v>0.221375</v>
      </c>
      <c r="T41" s="119" t="str">
        <f t="shared" si="49"/>
        <v/>
      </c>
      <c r="U41" s="119" t="str">
        <f t="shared" si="49"/>
        <v/>
      </c>
      <c r="V41" s="119" t="str">
        <f t="shared" si="49"/>
        <v/>
      </c>
      <c r="W41" s="119" t="str">
        <f t="shared" si="49"/>
        <v/>
      </c>
      <c r="X41" s="119" t="str">
        <f t="shared" si="49"/>
        <v/>
      </c>
      <c r="Y41" s="119" t="str">
        <f t="shared" si="49"/>
        <v/>
      </c>
      <c r="Z41" s="1"/>
      <c r="AA41" s="1"/>
      <c r="AB41" s="1"/>
      <c r="AC41" s="1"/>
      <c r="AD41" s="1"/>
      <c r="AE41" s="1"/>
      <c r="AF41" s="1"/>
      <c r="AG41" s="1"/>
    </row>
    <row r="42">
      <c r="A42" s="107"/>
      <c r="B42" s="27" t="s">
        <v>18</v>
      </c>
      <c r="D42" s="127">
        <f t="shared" si="45"/>
        <v>14.9963125</v>
      </c>
      <c r="E42" s="128">
        <f t="shared" ref="E42:Y42" si="50">IF(E$13*E33 = 0, ,E$13*E33)</f>
        <v>0.125</v>
      </c>
      <c r="F42" s="129">
        <f t="shared" si="50"/>
        <v>2.16</v>
      </c>
      <c r="G42" s="129">
        <f t="shared" si="50"/>
        <v>0.42</v>
      </c>
      <c r="H42" s="130">
        <f t="shared" si="50"/>
        <v>2.2788125</v>
      </c>
      <c r="I42" s="130">
        <f t="shared" si="50"/>
        <v>3.7180625</v>
      </c>
      <c r="J42" s="130">
        <f t="shared" si="50"/>
        <v>0.542875</v>
      </c>
      <c r="K42" s="132">
        <f t="shared" si="50"/>
        <v>0.6444444444</v>
      </c>
      <c r="L42" s="132">
        <f t="shared" si="50"/>
        <v>1.011777778</v>
      </c>
      <c r="M42" s="132">
        <f t="shared" si="50"/>
        <v>1.379111111</v>
      </c>
      <c r="N42" s="132">
        <f t="shared" si="50"/>
        <v>0.1806666667</v>
      </c>
      <c r="O42" s="133">
        <f t="shared" si="50"/>
        <v>0.33903125</v>
      </c>
      <c r="P42" s="133">
        <f t="shared" si="50"/>
        <v>0.51715625</v>
      </c>
      <c r="Q42" s="133">
        <f t="shared" si="50"/>
        <v>0.69528125</v>
      </c>
      <c r="R42" s="133">
        <f t="shared" si="50"/>
        <v>0.87340625</v>
      </c>
      <c r="S42" s="133">
        <f t="shared" si="50"/>
        <v>0.1106875</v>
      </c>
      <c r="T42" s="134" t="str">
        <f t="shared" si="50"/>
        <v/>
      </c>
      <c r="U42" s="134" t="str">
        <f t="shared" si="50"/>
        <v/>
      </c>
      <c r="V42" s="134" t="str">
        <f t="shared" si="50"/>
        <v/>
      </c>
      <c r="W42" s="134" t="str">
        <f t="shared" si="50"/>
        <v/>
      </c>
      <c r="X42" s="134" t="str">
        <f t="shared" si="50"/>
        <v/>
      </c>
      <c r="Y42" s="134" t="str">
        <f t="shared" si="50"/>
        <v/>
      </c>
      <c r="Z42" s="107"/>
      <c r="AA42" s="107"/>
      <c r="AB42" s="107"/>
      <c r="AC42" s="107"/>
      <c r="AD42" s="107"/>
      <c r="AE42" s="107"/>
      <c r="AF42" s="107"/>
      <c r="AG42" s="107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1"/>
      <c r="D45" s="13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</row>
    <row r="60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</row>
    <row r="6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</row>
    <row r="62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</row>
    <row r="63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</row>
    <row r="64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</row>
    <row r="65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</row>
    <row r="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</row>
    <row r="67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</row>
    <row r="68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</row>
    <row r="69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</row>
    <row r="70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</row>
    <row r="7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</row>
    <row r="72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</row>
    <row r="73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</row>
    <row r="74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</row>
    <row r="75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</row>
    <row r="7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</row>
    <row r="77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</row>
    <row r="78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</row>
    <row r="79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</row>
    <row r="80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</row>
    <row r="8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</row>
    <row r="82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</row>
    <row r="83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</row>
    <row r="84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</row>
    <row r="85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</row>
    <row r="8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</row>
    <row r="87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</row>
    <row r="88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</row>
    <row r="89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</row>
    <row r="90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</row>
    <row r="9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</row>
    <row r="92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</row>
    <row r="93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</row>
    <row r="94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</row>
    <row r="95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</row>
    <row r="9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</row>
    <row r="97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</row>
    <row r="98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</row>
    <row r="99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</row>
    <row r="100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</row>
    <row r="10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</row>
    <row r="102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</row>
    <row r="103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</row>
    <row r="104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</row>
    <row r="105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</row>
    <row r="10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</row>
    <row r="107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</row>
    <row r="108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</row>
    <row r="109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</row>
    <row r="110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</row>
    <row r="11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</row>
    <row r="112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</row>
    <row r="113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</row>
    <row r="114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</row>
    <row r="115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</row>
    <row r="11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</row>
    <row r="117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</row>
    <row r="118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</row>
    <row r="119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</row>
    <row r="120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</row>
    <row r="12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</row>
    <row r="122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</row>
    <row r="123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</row>
    <row r="124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</row>
    <row r="125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</row>
    <row r="12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</row>
    <row r="127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</row>
    <row r="128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</row>
    <row r="129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</row>
    <row r="130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</row>
    <row r="13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</row>
    <row r="132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</row>
    <row r="133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</row>
    <row r="134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</row>
    <row r="135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</row>
    <row r="13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</row>
    <row r="137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</row>
    <row r="138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</row>
    <row r="139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</row>
    <row r="140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</row>
    <row r="14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</row>
    <row r="142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</row>
    <row r="143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</row>
    <row r="144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</row>
    <row r="145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</row>
    <row r="14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</row>
    <row r="147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</row>
    <row r="148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</row>
    <row r="149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</row>
    <row r="150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</row>
    <row r="15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</row>
    <row r="152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</row>
    <row r="153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</row>
    <row r="154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</row>
    <row r="155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</row>
    <row r="15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</row>
    <row r="157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</row>
    <row r="158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</row>
    <row r="159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</row>
    <row r="160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</row>
    <row r="16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</row>
    <row r="162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</row>
    <row r="163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</row>
    <row r="164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</row>
    <row r="165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</row>
    <row r="16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</row>
    <row r="167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</row>
    <row r="168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</row>
    <row r="169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</row>
    <row r="170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</row>
    <row r="17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</row>
    <row r="172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</row>
    <row r="173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</row>
    <row r="174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</row>
    <row r="175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</row>
    <row r="17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</row>
    <row r="177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</row>
    <row r="178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</row>
    <row r="179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</row>
    <row r="180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</row>
    <row r="18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</row>
    <row r="182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</row>
    <row r="183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</row>
    <row r="184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</row>
    <row r="185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</row>
    <row r="18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</row>
    <row r="187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</row>
    <row r="188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</row>
    <row r="189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</row>
    <row r="190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</row>
    <row r="19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</row>
    <row r="192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</row>
    <row r="193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</row>
    <row r="194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</row>
    <row r="195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</row>
    <row r="19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</row>
    <row r="197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</row>
    <row r="198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</row>
    <row r="199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</row>
    <row r="200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</row>
    <row r="20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</row>
    <row r="202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</row>
    <row r="203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</row>
    <row r="204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</row>
    <row r="205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</row>
    <row r="206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</row>
    <row r="207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</row>
    <row r="208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</row>
    <row r="209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</row>
    <row r="210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</row>
    <row r="21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</row>
    <row r="212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</row>
    <row r="213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</row>
    <row r="214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</row>
    <row r="215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</row>
    <row r="216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</row>
    <row r="217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</row>
    <row r="218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</row>
    <row r="219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</row>
    <row r="220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</row>
    <row r="22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</row>
    <row r="222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</row>
    <row r="223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</row>
    <row r="224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</row>
    <row r="225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</row>
    <row r="226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</row>
    <row r="227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</row>
    <row r="228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</row>
    <row r="229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</row>
    <row r="230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</row>
    <row r="23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</row>
    <row r="232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</row>
    <row r="233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</row>
    <row r="234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</row>
    <row r="235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</row>
    <row r="236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</row>
    <row r="237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</row>
    <row r="238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</row>
    <row r="239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</row>
    <row r="240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</row>
    <row r="24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</row>
    <row r="242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</row>
    <row r="243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</row>
    <row r="244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</row>
    <row r="245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</row>
    <row r="246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</row>
    <row r="247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</row>
    <row r="248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</row>
    <row r="249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</row>
    <row r="250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</row>
    <row r="25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</row>
    <row r="252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</row>
    <row r="253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</row>
    <row r="254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</row>
    <row r="255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</row>
    <row r="256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</row>
    <row r="257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</row>
    <row r="258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</row>
    <row r="259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</row>
    <row r="260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</row>
    <row r="26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</row>
    <row r="262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</row>
    <row r="263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</row>
    <row r="264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</row>
    <row r="265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</row>
    <row r="266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</row>
    <row r="267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</row>
    <row r="268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</row>
    <row r="269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</row>
    <row r="270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</row>
    <row r="27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</row>
    <row r="272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</row>
    <row r="273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</row>
    <row r="274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</row>
    <row r="275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</row>
    <row r="276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</row>
    <row r="277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</row>
    <row r="278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</row>
    <row r="279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</row>
    <row r="280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</row>
    <row r="28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</row>
    <row r="282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</row>
    <row r="283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</row>
    <row r="284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</row>
    <row r="285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</row>
    <row r="286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</row>
    <row r="287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</row>
    <row r="288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</row>
    <row r="289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</row>
    <row r="290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</row>
    <row r="29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</row>
    <row r="292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</row>
    <row r="293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</row>
    <row r="294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</row>
    <row r="295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</row>
    <row r="296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</row>
    <row r="297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</row>
    <row r="298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</row>
    <row r="299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</row>
    <row r="300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</row>
    <row r="30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</row>
    <row r="302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</row>
    <row r="303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</row>
    <row r="304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</row>
    <row r="305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</row>
    <row r="306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</row>
    <row r="307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</row>
    <row r="308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</row>
    <row r="309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</row>
    <row r="310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</row>
    <row r="31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</row>
    <row r="312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</row>
    <row r="313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</row>
    <row r="314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</row>
    <row r="315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</row>
    <row r="316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</row>
    <row r="317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</row>
    <row r="318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</row>
    <row r="319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</row>
    <row r="320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</row>
    <row r="32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</row>
    <row r="322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</row>
    <row r="323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</row>
    <row r="324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</row>
    <row r="325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</row>
    <row r="326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</row>
    <row r="327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</row>
    <row r="328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</row>
    <row r="329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</row>
    <row r="330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</row>
    <row r="33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</row>
    <row r="332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</row>
    <row r="333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</row>
    <row r="334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</row>
    <row r="335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</row>
    <row r="336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</row>
    <row r="337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</row>
    <row r="338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</row>
    <row r="339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</row>
    <row r="340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</row>
    <row r="34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</row>
    <row r="342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</row>
    <row r="343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</row>
    <row r="344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</row>
    <row r="345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</row>
    <row r="346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</row>
    <row r="347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</row>
    <row r="348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</row>
    <row r="349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</row>
    <row r="350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</row>
    <row r="35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</row>
    <row r="352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</row>
    <row r="353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</row>
    <row r="354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</row>
    <row r="355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</row>
    <row r="356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</row>
    <row r="357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</row>
    <row r="358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</row>
    <row r="359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</row>
    <row r="360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</row>
    <row r="36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</row>
    <row r="362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</row>
    <row r="363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</row>
    <row r="364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</row>
    <row r="365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</row>
    <row r="366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</row>
    <row r="367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</row>
    <row r="368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</row>
    <row r="369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</row>
    <row r="370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</row>
    <row r="37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</row>
    <row r="372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</row>
    <row r="373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</row>
    <row r="374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</row>
    <row r="375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</row>
    <row r="376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</row>
    <row r="377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</row>
    <row r="378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</row>
    <row r="379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</row>
    <row r="380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</row>
    <row r="38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</row>
    <row r="382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</row>
    <row r="383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</row>
    <row r="384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</row>
    <row r="385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</row>
    <row r="386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</row>
    <row r="387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</row>
    <row r="388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</row>
    <row r="389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</row>
    <row r="390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</row>
    <row r="39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</row>
    <row r="392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</row>
    <row r="393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</row>
    <row r="394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</row>
    <row r="395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</row>
    <row r="396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</row>
    <row r="397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</row>
    <row r="398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</row>
    <row r="399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</row>
    <row r="400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</row>
    <row r="40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</row>
    <row r="402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</row>
    <row r="403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</row>
    <row r="404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</row>
    <row r="405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</row>
    <row r="406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</row>
    <row r="407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</row>
    <row r="408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</row>
    <row r="409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</row>
    <row r="410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</row>
    <row r="41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</row>
    <row r="412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</row>
    <row r="413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</row>
    <row r="414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</row>
    <row r="415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</row>
    <row r="416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</row>
    <row r="417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</row>
    <row r="418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</row>
    <row r="419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</row>
    <row r="420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</row>
    <row r="42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</row>
    <row r="422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</row>
    <row r="423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</row>
    <row r="424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</row>
    <row r="425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</row>
    <row r="426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</row>
    <row r="427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</row>
    <row r="428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</row>
    <row r="429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</row>
    <row r="430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</row>
    <row r="43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</row>
    <row r="432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</row>
    <row r="433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</row>
    <row r="434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</row>
    <row r="435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</row>
    <row r="436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</row>
    <row r="437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</row>
    <row r="438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</row>
    <row r="439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</row>
    <row r="440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</row>
    <row r="44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</row>
    <row r="442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</row>
    <row r="443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</row>
    <row r="444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</row>
    <row r="445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</row>
    <row r="446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</row>
    <row r="447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</row>
    <row r="448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</row>
    <row r="449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</row>
    <row r="450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</row>
    <row r="45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</row>
    <row r="452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</row>
    <row r="453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</row>
    <row r="454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</row>
    <row r="455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</row>
    <row r="456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</row>
    <row r="457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</row>
    <row r="458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</row>
    <row r="459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</row>
    <row r="460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</row>
    <row r="46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</row>
    <row r="462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</row>
    <row r="463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</row>
    <row r="464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</row>
    <row r="465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</row>
    <row r="466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</row>
    <row r="467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</row>
    <row r="468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</row>
    <row r="469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</row>
    <row r="470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</row>
    <row r="47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</row>
    <row r="472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</row>
    <row r="473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</row>
    <row r="474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</row>
    <row r="475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</row>
    <row r="476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</row>
    <row r="477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</row>
    <row r="478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</row>
    <row r="479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</row>
    <row r="480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</row>
    <row r="48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</row>
    <row r="482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</row>
    <row r="483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</row>
    <row r="484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</row>
    <row r="485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</row>
    <row r="486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</row>
    <row r="487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</row>
    <row r="488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</row>
    <row r="489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</row>
    <row r="490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</row>
    <row r="49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</row>
    <row r="492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</row>
    <row r="493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</row>
    <row r="494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</row>
    <row r="495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</row>
    <row r="496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</row>
    <row r="497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</row>
    <row r="498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</row>
    <row r="499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</row>
    <row r="500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</row>
    <row r="50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</row>
    <row r="502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</row>
    <row r="503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</row>
    <row r="504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</row>
    <row r="505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</row>
    <row r="506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</row>
    <row r="507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</row>
    <row r="508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</row>
    <row r="509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</row>
    <row r="510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</row>
    <row r="51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</row>
    <row r="512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</row>
    <row r="513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</row>
    <row r="514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</row>
    <row r="515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</row>
    <row r="516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</row>
    <row r="517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</row>
    <row r="518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</row>
    <row r="519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</row>
    <row r="520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</row>
    <row r="52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</row>
    <row r="522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</row>
    <row r="523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</row>
    <row r="524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</row>
    <row r="525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</row>
    <row r="526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</row>
    <row r="527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</row>
    <row r="528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</row>
    <row r="529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</row>
    <row r="530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</row>
    <row r="53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</row>
    <row r="532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</row>
    <row r="533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</row>
    <row r="534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</row>
    <row r="535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</row>
    <row r="536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</row>
    <row r="537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</row>
    <row r="538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</row>
    <row r="539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</row>
    <row r="540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</row>
    <row r="54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</row>
    <row r="542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</row>
    <row r="543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</row>
    <row r="544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</row>
    <row r="545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</row>
    <row r="546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</row>
    <row r="547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</row>
    <row r="548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</row>
    <row r="549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</row>
    <row r="550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</row>
    <row r="55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</row>
    <row r="552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</row>
    <row r="553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</row>
    <row r="554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</row>
    <row r="555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</row>
    <row r="556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</row>
    <row r="557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</row>
    <row r="558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</row>
    <row r="559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</row>
    <row r="560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</row>
    <row r="56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</row>
    <row r="562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</row>
    <row r="563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</row>
    <row r="564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</row>
    <row r="565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</row>
    <row r="566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</row>
    <row r="567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</row>
    <row r="568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</row>
    <row r="569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</row>
    <row r="570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</row>
    <row r="57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</row>
    <row r="572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</row>
    <row r="573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</row>
    <row r="574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</row>
    <row r="575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</row>
    <row r="576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</row>
    <row r="577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</row>
    <row r="578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</row>
    <row r="579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</row>
    <row r="580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</row>
    <row r="58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</row>
    <row r="582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</row>
    <row r="583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</row>
    <row r="584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</row>
    <row r="585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</row>
    <row r="586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</row>
    <row r="587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</row>
    <row r="588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</row>
    <row r="589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</row>
    <row r="590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</row>
    <row r="59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</row>
    <row r="592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</row>
    <row r="593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</row>
    <row r="594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</row>
    <row r="595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</row>
    <row r="596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</row>
    <row r="597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</row>
    <row r="598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</row>
    <row r="599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</row>
    <row r="600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</row>
    <row r="60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</row>
    <row r="602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</row>
    <row r="603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</row>
    <row r="604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</row>
    <row r="605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</row>
    <row r="606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</row>
    <row r="607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</row>
    <row r="608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</row>
    <row r="609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</row>
    <row r="610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</row>
    <row r="61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</row>
    <row r="612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</row>
    <row r="613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</row>
    <row r="614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</row>
    <row r="615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</row>
    <row r="616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</row>
    <row r="617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</row>
    <row r="618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</row>
    <row r="619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</row>
    <row r="620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</row>
    <row r="62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</row>
    <row r="622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</row>
    <row r="623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</row>
    <row r="624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</row>
    <row r="625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</row>
    <row r="626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</row>
    <row r="627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</row>
    <row r="628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</row>
    <row r="629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</row>
    <row r="630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</row>
    <row r="63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</row>
    <row r="632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</row>
    <row r="633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</row>
    <row r="634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</row>
    <row r="635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</row>
    <row r="636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</row>
    <row r="637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</row>
    <row r="638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</row>
    <row r="639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</row>
    <row r="640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</row>
    <row r="64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</row>
    <row r="642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</row>
    <row r="643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</row>
    <row r="644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</row>
    <row r="645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</row>
    <row r="646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</row>
    <row r="647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</row>
    <row r="648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</row>
    <row r="649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</row>
    <row r="650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</row>
    <row r="65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</row>
    <row r="652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</row>
    <row r="653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</row>
    <row r="654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</row>
    <row r="655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</row>
    <row r="656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</row>
    <row r="657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</row>
    <row r="658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</row>
    <row r="659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</row>
    <row r="660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</row>
    <row r="66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</row>
    <row r="662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</row>
    <row r="663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</row>
    <row r="664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</row>
    <row r="665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</row>
    <row r="666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</row>
    <row r="667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</row>
    <row r="668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</row>
    <row r="669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</row>
    <row r="670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</row>
    <row r="67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</row>
    <row r="672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</row>
    <row r="673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</row>
    <row r="674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</row>
    <row r="675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</row>
    <row r="676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</row>
    <row r="677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</row>
    <row r="678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</row>
    <row r="679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</row>
    <row r="680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</row>
    <row r="68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</row>
    <row r="682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</row>
    <row r="683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</row>
    <row r="684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</row>
    <row r="685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</row>
    <row r="686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</row>
    <row r="687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</row>
    <row r="688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</row>
    <row r="689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</row>
    <row r="690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</row>
    <row r="69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</row>
    <row r="692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</row>
    <row r="693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</row>
    <row r="694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</row>
    <row r="695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</row>
    <row r="696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</row>
    <row r="697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</row>
    <row r="698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</row>
    <row r="699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</row>
    <row r="700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</row>
    <row r="70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</row>
    <row r="702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</row>
    <row r="703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</row>
    <row r="704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</row>
    <row r="705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</row>
    <row r="706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</row>
    <row r="707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</row>
    <row r="708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</row>
    <row r="709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</row>
    <row r="710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</row>
    <row r="71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</row>
    <row r="712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</row>
    <row r="713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</row>
    <row r="714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</row>
    <row r="715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</row>
    <row r="716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</row>
    <row r="717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</row>
    <row r="718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</row>
    <row r="719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</row>
    <row r="720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</row>
    <row r="72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</row>
    <row r="722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</row>
    <row r="723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</row>
    <row r="724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</row>
    <row r="725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</row>
    <row r="726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</row>
    <row r="727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</row>
    <row r="728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</row>
    <row r="729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</row>
    <row r="730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</row>
    <row r="73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</row>
    <row r="732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</row>
    <row r="733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</row>
    <row r="734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</row>
    <row r="735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</row>
    <row r="736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</row>
    <row r="737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</row>
    <row r="738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</row>
    <row r="739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</row>
    <row r="740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</row>
    <row r="74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</row>
    <row r="742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</row>
    <row r="743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</row>
    <row r="744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</row>
    <row r="745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</row>
    <row r="746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</row>
    <row r="747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</row>
    <row r="748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</row>
    <row r="749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</row>
    <row r="750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</row>
    <row r="75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</row>
    <row r="752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</row>
    <row r="753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</row>
    <row r="754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</row>
    <row r="755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</row>
    <row r="756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</row>
    <row r="757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</row>
    <row r="758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</row>
    <row r="759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</row>
    <row r="760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</row>
    <row r="76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</row>
    <row r="762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</row>
    <row r="763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</row>
    <row r="764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</row>
    <row r="765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</row>
    <row r="766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</row>
    <row r="767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</row>
    <row r="768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</row>
    <row r="769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</row>
    <row r="770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</row>
    <row r="77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</row>
    <row r="772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</row>
    <row r="773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</row>
    <row r="774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</row>
    <row r="775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</row>
    <row r="776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</row>
    <row r="777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</row>
    <row r="778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</row>
    <row r="779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</row>
    <row r="780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</row>
    <row r="78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</row>
    <row r="782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</row>
    <row r="783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</row>
    <row r="784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</row>
    <row r="785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</row>
    <row r="786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</row>
    <row r="787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</row>
    <row r="788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</row>
    <row r="789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</row>
    <row r="790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</row>
    <row r="79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</row>
    <row r="792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</row>
    <row r="793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</row>
    <row r="794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</row>
    <row r="795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</row>
    <row r="796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</row>
    <row r="797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</row>
    <row r="798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</row>
    <row r="799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</row>
    <row r="800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</row>
    <row r="80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</row>
    <row r="802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</row>
    <row r="803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</row>
    <row r="804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</row>
    <row r="805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</row>
    <row r="806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</row>
    <row r="807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</row>
    <row r="808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</row>
    <row r="809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</row>
    <row r="810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</row>
    <row r="81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</row>
    <row r="812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</row>
    <row r="813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</row>
    <row r="814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</row>
    <row r="815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</row>
    <row r="816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</row>
    <row r="817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</row>
    <row r="818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</row>
    <row r="819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</row>
    <row r="820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</row>
    <row r="82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</row>
    <row r="822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</row>
    <row r="823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</row>
    <row r="824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</row>
    <row r="825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</row>
    <row r="826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</row>
    <row r="827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</row>
    <row r="828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</row>
    <row r="829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</row>
    <row r="830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</row>
    <row r="83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</row>
    <row r="832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</row>
    <row r="833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</row>
    <row r="834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</row>
    <row r="835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</row>
    <row r="836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</row>
    <row r="837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</row>
    <row r="838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</row>
    <row r="839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</row>
    <row r="840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</row>
    <row r="84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</row>
    <row r="842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</row>
    <row r="843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</row>
    <row r="844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</row>
    <row r="845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</row>
    <row r="846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</row>
    <row r="847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</row>
    <row r="848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</row>
    <row r="849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</row>
    <row r="850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</row>
    <row r="85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</row>
    <row r="852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</row>
    <row r="853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</row>
    <row r="854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</row>
    <row r="855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</row>
    <row r="856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</row>
    <row r="857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</row>
    <row r="858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</row>
    <row r="859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</row>
    <row r="860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</row>
    <row r="86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</row>
    <row r="862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</row>
    <row r="863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</row>
    <row r="864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</row>
    <row r="865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</row>
    <row r="866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</row>
    <row r="867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</row>
    <row r="868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</row>
    <row r="869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</row>
    <row r="870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</row>
    <row r="87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</row>
    <row r="872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</row>
    <row r="873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</row>
    <row r="874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</row>
    <row r="875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</row>
    <row r="876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</row>
    <row r="877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</row>
    <row r="878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</row>
    <row r="879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</row>
    <row r="880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</row>
    <row r="88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</row>
    <row r="882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</row>
    <row r="883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</row>
    <row r="884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</row>
    <row r="885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</row>
    <row r="886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</row>
    <row r="887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</row>
    <row r="888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</row>
    <row r="889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</row>
    <row r="890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</row>
    <row r="89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</row>
    <row r="892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</row>
    <row r="893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</row>
    <row r="894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</row>
    <row r="895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</row>
    <row r="896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</row>
    <row r="897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</row>
    <row r="898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</row>
    <row r="899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</row>
    <row r="900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</row>
    <row r="90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</row>
    <row r="902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</row>
    <row r="903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</row>
    <row r="904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</row>
    <row r="905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</row>
    <row r="906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</row>
    <row r="907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</row>
    <row r="908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</row>
    <row r="909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</row>
    <row r="910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</row>
    <row r="91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</row>
    <row r="912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</row>
    <row r="913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</row>
    <row r="914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</row>
    <row r="915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</row>
    <row r="916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</row>
    <row r="917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</row>
    <row r="918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</row>
    <row r="919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</row>
    <row r="920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</row>
    <row r="92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</row>
    <row r="922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</row>
    <row r="923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</row>
    <row r="924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</row>
    <row r="925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</row>
    <row r="926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</row>
    <row r="927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</row>
    <row r="928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</row>
    <row r="929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</row>
    <row r="930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</row>
    <row r="93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</row>
    <row r="932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</row>
    <row r="933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</row>
    <row r="934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</row>
    <row r="935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</row>
    <row r="936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</row>
    <row r="937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</row>
    <row r="938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</row>
    <row r="939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</row>
    <row r="940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</row>
    <row r="94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</row>
    <row r="942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</row>
    <row r="943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</row>
    <row r="944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</row>
    <row r="945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</row>
    <row r="946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</row>
    <row r="947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</row>
    <row r="948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</row>
    <row r="949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</row>
    <row r="950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</row>
    <row r="95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</row>
    <row r="952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</row>
    <row r="953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</row>
    <row r="954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</row>
    <row r="955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</row>
    <row r="956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</row>
    <row r="957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</row>
    <row r="958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</row>
    <row r="959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</row>
    <row r="960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</row>
    <row r="96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</row>
    <row r="962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</row>
    <row r="963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</row>
    <row r="964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</row>
    <row r="965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</row>
    <row r="966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</row>
    <row r="967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</row>
    <row r="968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</row>
    <row r="969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</row>
    <row r="970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</row>
    <row r="971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</row>
    <row r="972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</row>
    <row r="973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</row>
    <row r="974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</row>
    <row r="975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</row>
    <row r="976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</row>
    <row r="977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</row>
    <row r="978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</row>
    <row r="979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</row>
    <row r="980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</row>
    <row r="981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</row>
    <row r="982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</row>
    <row r="983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</row>
    <row r="984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</row>
    <row r="985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</row>
    <row r="986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</row>
    <row r="987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</row>
    <row r="988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</row>
    <row r="989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</row>
    <row r="990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</row>
    <row r="991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</row>
    <row r="992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</row>
    <row r="993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</row>
    <row r="994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</row>
    <row r="995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</row>
    <row r="996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</row>
    <row r="997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</row>
    <row r="998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</row>
    <row r="999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</row>
    <row r="1000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</row>
    <row r="1001">
      <c r="A1001" s="137"/>
      <c r="B1001" s="137"/>
      <c r="C1001" s="137"/>
      <c r="D1001" s="137"/>
      <c r="E1001" s="137"/>
      <c r="F1001" s="137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7"/>
      <c r="V1001" s="137"/>
      <c r="W1001" s="137"/>
      <c r="X1001" s="137"/>
      <c r="Y1001" s="137"/>
      <c r="Z1001" s="137"/>
      <c r="AA1001" s="137"/>
      <c r="AB1001" s="137"/>
      <c r="AC1001" s="137"/>
      <c r="AD1001" s="137"/>
      <c r="AE1001" s="137"/>
      <c r="AF1001" s="137"/>
      <c r="AG1001" s="137"/>
    </row>
    <row r="1002">
      <c r="A1002" s="137"/>
      <c r="B1002" s="137"/>
      <c r="C1002" s="137"/>
      <c r="D1002" s="137"/>
      <c r="E1002" s="137"/>
      <c r="F1002" s="137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7"/>
      <c r="V1002" s="137"/>
      <c r="W1002" s="137"/>
      <c r="X1002" s="137"/>
      <c r="Y1002" s="137"/>
      <c r="Z1002" s="137"/>
      <c r="AA1002" s="137"/>
      <c r="AB1002" s="137"/>
      <c r="AC1002" s="137"/>
      <c r="AD1002" s="137"/>
      <c r="AE1002" s="137"/>
      <c r="AF1002" s="137"/>
      <c r="AG1002" s="137"/>
    </row>
    <row r="1003">
      <c r="A1003" s="137"/>
      <c r="B1003" s="137"/>
      <c r="C1003" s="137"/>
      <c r="D1003" s="137"/>
      <c r="E1003" s="137"/>
      <c r="F1003" s="137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7"/>
      <c r="V1003" s="137"/>
      <c r="W1003" s="137"/>
      <c r="X1003" s="137"/>
      <c r="Y1003" s="137"/>
      <c r="Z1003" s="137"/>
      <c r="AA1003" s="137"/>
      <c r="AB1003" s="137"/>
      <c r="AC1003" s="137"/>
      <c r="AD1003" s="137"/>
      <c r="AE1003" s="137"/>
      <c r="AF1003" s="137"/>
      <c r="AG1003" s="137"/>
    </row>
    <row r="1004">
      <c r="A1004" s="137"/>
      <c r="B1004" s="137"/>
      <c r="C1004" s="137"/>
      <c r="D1004" s="137"/>
      <c r="E1004" s="137"/>
      <c r="F1004" s="137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7"/>
      <c r="V1004" s="137"/>
      <c r="W1004" s="137"/>
      <c r="X1004" s="137"/>
      <c r="Y1004" s="137"/>
      <c r="Z1004" s="137"/>
      <c r="AA1004" s="137"/>
      <c r="AB1004" s="137"/>
      <c r="AC1004" s="137"/>
      <c r="AD1004" s="137"/>
      <c r="AE1004" s="137"/>
      <c r="AF1004" s="137"/>
      <c r="AG1004" s="137"/>
    </row>
    <row r="1005">
      <c r="A1005" s="137"/>
      <c r="B1005" s="137"/>
      <c r="C1005" s="137"/>
      <c r="D1005" s="137"/>
      <c r="E1005" s="137"/>
      <c r="F1005" s="137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7"/>
      <c r="V1005" s="137"/>
      <c r="W1005" s="137"/>
      <c r="X1005" s="137"/>
      <c r="Y1005" s="137"/>
      <c r="Z1005" s="137"/>
      <c r="AA1005" s="137"/>
      <c r="AB1005" s="137"/>
      <c r="AC1005" s="137"/>
      <c r="AD1005" s="137"/>
      <c r="AE1005" s="137"/>
      <c r="AF1005" s="137"/>
      <c r="AG1005" s="137"/>
    </row>
    <row r="1006">
      <c r="A1006" s="137"/>
      <c r="B1006" s="137"/>
      <c r="C1006" s="137"/>
      <c r="D1006" s="137"/>
      <c r="E1006" s="137"/>
      <c r="F1006" s="137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7"/>
      <c r="V1006" s="137"/>
      <c r="W1006" s="137"/>
      <c r="X1006" s="137"/>
      <c r="Y1006" s="137"/>
      <c r="Z1006" s="137"/>
      <c r="AA1006" s="137"/>
      <c r="AB1006" s="137"/>
      <c r="AC1006" s="137"/>
      <c r="AD1006" s="137"/>
      <c r="AE1006" s="137"/>
      <c r="AF1006" s="137"/>
      <c r="AG1006" s="137"/>
    </row>
    <row r="1007">
      <c r="A1007" s="137"/>
      <c r="B1007" s="137"/>
      <c r="C1007" s="137"/>
      <c r="D1007" s="137"/>
      <c r="E1007" s="137"/>
      <c r="F1007" s="137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7"/>
      <c r="V1007" s="137"/>
      <c r="W1007" s="137"/>
      <c r="X1007" s="137"/>
      <c r="Y1007" s="137"/>
      <c r="Z1007" s="137"/>
      <c r="AA1007" s="137"/>
      <c r="AB1007" s="137"/>
      <c r="AC1007" s="137"/>
      <c r="AD1007" s="137"/>
      <c r="AE1007" s="137"/>
      <c r="AF1007" s="137"/>
      <c r="AG1007" s="137"/>
    </row>
  </sheetData>
  <mergeCells count="117">
    <mergeCell ref="D7:E7"/>
    <mergeCell ref="F7:G7"/>
    <mergeCell ref="H7:I7"/>
    <mergeCell ref="J7:K7"/>
    <mergeCell ref="L7:M7"/>
    <mergeCell ref="N7:O7"/>
    <mergeCell ref="P7:Q7"/>
    <mergeCell ref="B7:C7"/>
    <mergeCell ref="B8:C8"/>
    <mergeCell ref="D8:E8"/>
    <mergeCell ref="F8:G8"/>
    <mergeCell ref="H8:I8"/>
    <mergeCell ref="J8:K8"/>
    <mergeCell ref="L8:M8"/>
    <mergeCell ref="L9:M9"/>
    <mergeCell ref="N9:O9"/>
    <mergeCell ref="N8:O8"/>
    <mergeCell ref="P8:Q8"/>
    <mergeCell ref="D9:E9"/>
    <mergeCell ref="F9:G9"/>
    <mergeCell ref="H9:I9"/>
    <mergeCell ref="J9:K9"/>
    <mergeCell ref="P9:Q9"/>
    <mergeCell ref="F18:G18"/>
    <mergeCell ref="F19:G19"/>
    <mergeCell ref="F20:G20"/>
    <mergeCell ref="F21:G21"/>
    <mergeCell ref="F22:G22"/>
    <mergeCell ref="F23:G23"/>
    <mergeCell ref="F24:G24"/>
    <mergeCell ref="B9:C9"/>
    <mergeCell ref="B12:C12"/>
    <mergeCell ref="B13:C13"/>
    <mergeCell ref="B14:C14"/>
    <mergeCell ref="B15:C15"/>
    <mergeCell ref="B18:C18"/>
    <mergeCell ref="B19:C19"/>
    <mergeCell ref="B20:C20"/>
    <mergeCell ref="B21:C21"/>
    <mergeCell ref="B22:C22"/>
    <mergeCell ref="B23:C23"/>
    <mergeCell ref="B24:C24"/>
    <mergeCell ref="B27:C27"/>
    <mergeCell ref="B28:C28"/>
    <mergeCell ref="B37:C37"/>
    <mergeCell ref="B38:C38"/>
    <mergeCell ref="B39:C39"/>
    <mergeCell ref="B40:C40"/>
    <mergeCell ref="B41:C41"/>
    <mergeCell ref="B42:C42"/>
    <mergeCell ref="B29:C29"/>
    <mergeCell ref="B30:C30"/>
    <mergeCell ref="B31:C31"/>
    <mergeCell ref="B32:C32"/>
    <mergeCell ref="B33:C33"/>
    <mergeCell ref="B35:C36"/>
    <mergeCell ref="D35:D36"/>
    <mergeCell ref="H18:J18"/>
    <mergeCell ref="K18:N18"/>
    <mergeCell ref="O18:S18"/>
    <mergeCell ref="T18:Y18"/>
    <mergeCell ref="K19:N19"/>
    <mergeCell ref="O19:S19"/>
    <mergeCell ref="T19:Y19"/>
    <mergeCell ref="H19:J19"/>
    <mergeCell ref="H20:J20"/>
    <mergeCell ref="K20:N20"/>
    <mergeCell ref="O20:S20"/>
    <mergeCell ref="T20:Y20"/>
    <mergeCell ref="H21:J21"/>
    <mergeCell ref="K21:N21"/>
    <mergeCell ref="H23:J23"/>
    <mergeCell ref="H24:J24"/>
    <mergeCell ref="K24:N24"/>
    <mergeCell ref="O24:S24"/>
    <mergeCell ref="T24:Y24"/>
    <mergeCell ref="H22:J22"/>
    <mergeCell ref="K22:N22"/>
    <mergeCell ref="O22:S22"/>
    <mergeCell ref="T22:Y22"/>
    <mergeCell ref="K23:N23"/>
    <mergeCell ref="O23:S23"/>
    <mergeCell ref="T23:Y23"/>
    <mergeCell ref="D3:E3"/>
    <mergeCell ref="F3:G3"/>
    <mergeCell ref="H3:I3"/>
    <mergeCell ref="J3:K3"/>
    <mergeCell ref="L3:M3"/>
    <mergeCell ref="N3:O3"/>
    <mergeCell ref="P3:Q3"/>
    <mergeCell ref="N4:O4"/>
    <mergeCell ref="P4:Q4"/>
    <mergeCell ref="B3:C3"/>
    <mergeCell ref="B4:C4"/>
    <mergeCell ref="D4:E4"/>
    <mergeCell ref="F4:G4"/>
    <mergeCell ref="H4:I4"/>
    <mergeCell ref="J4:K4"/>
    <mergeCell ref="L4:M4"/>
    <mergeCell ref="D5:E5"/>
    <mergeCell ref="F5:G5"/>
    <mergeCell ref="H5:I5"/>
    <mergeCell ref="J5:K5"/>
    <mergeCell ref="L5:M5"/>
    <mergeCell ref="N5:O5"/>
    <mergeCell ref="P5:Q5"/>
    <mergeCell ref="N6:O6"/>
    <mergeCell ref="P6:Q6"/>
    <mergeCell ref="B5:C5"/>
    <mergeCell ref="B6:C6"/>
    <mergeCell ref="D6:E6"/>
    <mergeCell ref="F6:G6"/>
    <mergeCell ref="H6:I6"/>
    <mergeCell ref="J6:K6"/>
    <mergeCell ref="L6:M6"/>
    <mergeCell ref="O21:S21"/>
    <mergeCell ref="T21:Y2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11.75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3"/>
      <c r="B3" s="14" t="s">
        <v>11</v>
      </c>
      <c r="D3" s="15" t="s">
        <v>12</v>
      </c>
      <c r="E3" s="16" t="s">
        <v>13</v>
      </c>
      <c r="F3" s="17" t="s">
        <v>14</v>
      </c>
      <c r="G3" s="18" t="s">
        <v>15</v>
      </c>
      <c r="H3" s="19"/>
      <c r="I3" s="20" t="s">
        <v>17</v>
      </c>
      <c r="K3" s="15" t="s">
        <v>12</v>
      </c>
      <c r="L3" s="21" t="s">
        <v>13</v>
      </c>
      <c r="M3" s="22" t="s">
        <v>14</v>
      </c>
      <c r="N3" s="18" t="s">
        <v>15</v>
      </c>
      <c r="O3" s="13"/>
      <c r="P3" s="13"/>
      <c r="Q3" s="13"/>
      <c r="R3" s="13"/>
      <c r="S3" s="23"/>
      <c r="T3" s="23"/>
      <c r="U3" s="23"/>
      <c r="V3" s="23"/>
      <c r="W3" s="23"/>
      <c r="X3" s="13"/>
      <c r="Y3" s="13"/>
      <c r="Z3" s="13"/>
      <c r="AA3" s="13"/>
    </row>
    <row r="4">
      <c r="A4" s="13"/>
      <c r="B4" s="24" t="s">
        <v>8</v>
      </c>
      <c r="D4" s="25">
        <v>0.74</v>
      </c>
      <c r="E4" s="26">
        <v>0.2</v>
      </c>
      <c r="F4" s="33">
        <f t="shared" ref="F4:F7" si="1">I57</f>
        <v>0.0625</v>
      </c>
      <c r="G4" s="34">
        <v>0.97925</v>
      </c>
      <c r="H4" s="35"/>
      <c r="I4" s="36" t="s">
        <v>8</v>
      </c>
      <c r="K4" s="25">
        <v>0.8</v>
      </c>
      <c r="L4" s="37">
        <v>0.865</v>
      </c>
      <c r="M4" s="33">
        <v>0.68</v>
      </c>
      <c r="N4" s="34">
        <v>0.97925</v>
      </c>
      <c r="O4" s="13"/>
      <c r="P4" s="13"/>
      <c r="Q4" s="13"/>
      <c r="R4" s="13"/>
      <c r="S4" s="23"/>
      <c r="T4" s="23"/>
      <c r="U4" s="23"/>
      <c r="V4" s="23"/>
      <c r="W4" s="23"/>
      <c r="X4" s="13"/>
      <c r="Y4" s="13"/>
      <c r="Z4" s="13"/>
      <c r="AA4" s="13"/>
    </row>
    <row r="5">
      <c r="A5" s="13"/>
      <c r="B5" s="24" t="s">
        <v>9</v>
      </c>
      <c r="D5" s="25">
        <v>0.22</v>
      </c>
      <c r="E5" s="26">
        <v>0.7</v>
      </c>
      <c r="F5" s="33">
        <f t="shared" si="1"/>
        <v>0.7</v>
      </c>
      <c r="G5" s="38"/>
      <c r="H5" s="35"/>
      <c r="I5" s="36" t="s">
        <v>9</v>
      </c>
      <c r="K5" s="25">
        <v>0.17</v>
      </c>
      <c r="L5" s="37">
        <v>0.1</v>
      </c>
      <c r="M5" s="33">
        <v>0.25</v>
      </c>
      <c r="N5" s="38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3"/>
      <c r="B6" s="36" t="s">
        <v>10</v>
      </c>
      <c r="D6" s="25">
        <v>0.03</v>
      </c>
      <c r="E6" s="26">
        <v>0.075</v>
      </c>
      <c r="F6" s="33">
        <f t="shared" si="1"/>
        <v>0.205</v>
      </c>
      <c r="G6" s="34">
        <v>0.02</v>
      </c>
      <c r="H6" s="35"/>
      <c r="I6" s="36" t="s">
        <v>10</v>
      </c>
      <c r="K6" s="25">
        <v>0.025</v>
      </c>
      <c r="L6" s="37">
        <v>0.03</v>
      </c>
      <c r="M6" s="33">
        <v>0.06</v>
      </c>
      <c r="N6" s="34">
        <v>0.02</v>
      </c>
      <c r="O6" s="13"/>
      <c r="P6" s="13"/>
      <c r="Q6" s="13"/>
      <c r="R6" s="13"/>
      <c r="S6" s="23"/>
      <c r="T6" s="23"/>
      <c r="U6" s="23"/>
      <c r="V6" s="23"/>
      <c r="W6" s="23"/>
      <c r="X6" s="13"/>
      <c r="Y6" s="13"/>
      <c r="Z6" s="13"/>
      <c r="AA6" s="13"/>
    </row>
    <row r="7">
      <c r="A7" s="13"/>
      <c r="B7" s="36" t="s">
        <v>16</v>
      </c>
      <c r="D7" s="25">
        <v>0.01</v>
      </c>
      <c r="E7" s="26">
        <v>0.025</v>
      </c>
      <c r="F7" s="33">
        <f t="shared" si="1"/>
        <v>0.0325</v>
      </c>
      <c r="G7" s="34">
        <v>5.0E-4</v>
      </c>
      <c r="H7" s="35"/>
      <c r="I7" s="36" t="s">
        <v>16</v>
      </c>
      <c r="K7" s="25">
        <v>0.005</v>
      </c>
      <c r="L7" s="26">
        <v>0.005</v>
      </c>
      <c r="M7" s="33">
        <v>0.01</v>
      </c>
      <c r="N7" s="34">
        <v>5.0E-4</v>
      </c>
      <c r="O7" s="13"/>
      <c r="P7" s="13"/>
      <c r="Q7" s="13"/>
      <c r="R7" s="13"/>
      <c r="S7" s="23"/>
      <c r="T7" s="23"/>
      <c r="U7" s="23"/>
      <c r="V7" s="23"/>
      <c r="W7" s="23"/>
      <c r="X7" s="13"/>
      <c r="Y7" s="13"/>
      <c r="Z7" s="13"/>
      <c r="AA7" s="13"/>
    </row>
    <row r="8">
      <c r="A8" s="13"/>
      <c r="B8" s="44" t="s">
        <v>20</v>
      </c>
      <c r="D8" s="46"/>
      <c r="E8" s="47"/>
      <c r="F8" s="48"/>
      <c r="G8" s="34">
        <v>2.5E-4</v>
      </c>
      <c r="H8" s="49"/>
      <c r="I8" s="44" t="s">
        <v>20</v>
      </c>
      <c r="K8" s="46"/>
      <c r="L8" s="47"/>
      <c r="M8" s="48"/>
      <c r="N8" s="34">
        <v>2.5E-4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3"/>
      <c r="B9" s="36" t="s">
        <v>22</v>
      </c>
      <c r="D9" s="25"/>
      <c r="E9" s="26">
        <v>-0.0275</v>
      </c>
      <c r="F9" s="33">
        <v>-0.0125</v>
      </c>
      <c r="G9" s="50">
        <v>-0.02625</v>
      </c>
      <c r="H9" s="35"/>
      <c r="I9" s="36" t="s">
        <v>22</v>
      </c>
      <c r="K9" s="25"/>
      <c r="L9" s="37">
        <v>-0.01</v>
      </c>
      <c r="M9" s="33">
        <v>-0.015</v>
      </c>
      <c r="N9" s="50">
        <v>-0.024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3"/>
      <c r="B10" s="36" t="s">
        <v>24</v>
      </c>
      <c r="D10" s="25"/>
      <c r="E10" s="26">
        <v>0.0</v>
      </c>
      <c r="F10" s="33">
        <v>-0.0325</v>
      </c>
      <c r="G10" s="38"/>
      <c r="H10" s="35"/>
      <c r="I10" s="36" t="s">
        <v>24</v>
      </c>
      <c r="K10" s="25"/>
      <c r="L10" s="26">
        <v>0.0</v>
      </c>
      <c r="M10" s="33">
        <v>0.003</v>
      </c>
      <c r="N10" s="38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36" t="s">
        <v>25</v>
      </c>
      <c r="D11" s="25"/>
      <c r="E11" s="26">
        <v>0.026</v>
      </c>
      <c r="F11" s="33">
        <v>0.043</v>
      </c>
      <c r="G11" s="34">
        <v>0.02</v>
      </c>
      <c r="H11" s="35"/>
      <c r="I11" s="36" t="s">
        <v>25</v>
      </c>
      <c r="K11" s="25"/>
      <c r="L11" s="37">
        <v>0.009</v>
      </c>
      <c r="M11" s="33">
        <v>0.01</v>
      </c>
      <c r="N11" s="34">
        <v>0.02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36" t="s">
        <v>30</v>
      </c>
      <c r="D12" s="25"/>
      <c r="E12" s="26">
        <v>0.0015</v>
      </c>
      <c r="F12" s="33">
        <v>0.002</v>
      </c>
      <c r="G12" s="34">
        <v>0.0015</v>
      </c>
      <c r="H12" s="35"/>
      <c r="I12" s="36" t="s">
        <v>30</v>
      </c>
      <c r="K12" s="25"/>
      <c r="L12" s="37">
        <v>0.001</v>
      </c>
      <c r="M12" s="33">
        <v>0.002</v>
      </c>
      <c r="N12" s="34">
        <v>0.0015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58" t="s">
        <v>34</v>
      </c>
      <c r="D13" s="46"/>
      <c r="E13" s="47"/>
      <c r="F13" s="48"/>
      <c r="G13" s="50">
        <v>0.00475</v>
      </c>
      <c r="H13" s="35"/>
      <c r="I13" s="58" t="s">
        <v>34</v>
      </c>
      <c r="K13" s="46"/>
      <c r="L13" s="47"/>
      <c r="M13" s="48"/>
      <c r="N13" s="50">
        <v>0.0025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59"/>
      <c r="C14" s="59"/>
      <c r="D14" s="49"/>
      <c r="E14" s="49"/>
      <c r="F14" s="49"/>
      <c r="G14" s="35"/>
      <c r="H14" s="35"/>
      <c r="I14" s="60"/>
      <c r="J14" s="60"/>
      <c r="K14" s="49"/>
      <c r="L14" s="49"/>
      <c r="M14" s="49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59"/>
      <c r="C15" s="59"/>
      <c r="D15" s="49"/>
      <c r="E15" s="49"/>
      <c r="F15" s="49"/>
      <c r="G15" s="35"/>
      <c r="H15" s="35"/>
      <c r="I15" s="60"/>
      <c r="J15" s="60"/>
      <c r="K15" s="49"/>
      <c r="L15" s="49"/>
      <c r="M15" s="49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20" t="s">
        <v>35</v>
      </c>
      <c r="D16" s="61" t="s">
        <v>12</v>
      </c>
      <c r="E16" s="62" t="s">
        <v>13</v>
      </c>
      <c r="F16" s="63" t="s">
        <v>14</v>
      </c>
      <c r="G16" s="18" t="s">
        <v>15</v>
      </c>
      <c r="H16" s="35"/>
      <c r="I16" s="64" t="s">
        <v>36</v>
      </c>
      <c r="K16" s="61" t="s">
        <v>12</v>
      </c>
      <c r="L16" s="62" t="s">
        <v>13</v>
      </c>
      <c r="M16" s="63" t="s">
        <v>14</v>
      </c>
      <c r="N16" s="18" t="s">
        <v>15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24" t="s">
        <v>8</v>
      </c>
      <c r="D17" s="25"/>
      <c r="E17" s="37"/>
      <c r="F17" s="33">
        <v>0.364</v>
      </c>
      <c r="G17" s="34">
        <v>0.97925</v>
      </c>
      <c r="H17" s="35"/>
      <c r="I17" s="36" t="s">
        <v>8</v>
      </c>
      <c r="K17" s="25">
        <v>0.79</v>
      </c>
      <c r="L17" s="26">
        <v>0.865</v>
      </c>
      <c r="M17" s="33">
        <v>0.85</v>
      </c>
      <c r="N17" s="34">
        <v>0.97925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24" t="s">
        <v>9</v>
      </c>
      <c r="D18" s="65">
        <v>1.0</v>
      </c>
      <c r="E18" s="37">
        <v>0.975</v>
      </c>
      <c r="F18" s="33">
        <v>0.6</v>
      </c>
      <c r="G18" s="38"/>
      <c r="H18" s="35"/>
      <c r="I18" s="36" t="s">
        <v>9</v>
      </c>
      <c r="K18" s="25">
        <v>0.17</v>
      </c>
      <c r="L18" s="26">
        <v>0.1</v>
      </c>
      <c r="M18" s="33">
        <v>0.1</v>
      </c>
      <c r="N18" s="38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36" t="s">
        <v>10</v>
      </c>
      <c r="D19" s="25"/>
      <c r="E19" s="37">
        <v>0.02</v>
      </c>
      <c r="F19" s="33">
        <v>0.03</v>
      </c>
      <c r="G19" s="34">
        <v>0.02</v>
      </c>
      <c r="H19" s="35"/>
      <c r="I19" s="36" t="s">
        <v>10</v>
      </c>
      <c r="K19" s="25">
        <v>0.035</v>
      </c>
      <c r="L19" s="26">
        <v>0.03</v>
      </c>
      <c r="M19" s="33">
        <v>0.04</v>
      </c>
      <c r="N19" s="34">
        <v>0.02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36" t="s">
        <v>16</v>
      </c>
      <c r="D20" s="25"/>
      <c r="E20" s="37">
        <v>0.005</v>
      </c>
      <c r="F20" s="33">
        <v>0.006</v>
      </c>
      <c r="G20" s="34">
        <v>5.0E-4</v>
      </c>
      <c r="H20" s="35"/>
      <c r="I20" s="36" t="s">
        <v>16</v>
      </c>
      <c r="K20" s="25">
        <v>0.005</v>
      </c>
      <c r="L20" s="26">
        <v>0.005</v>
      </c>
      <c r="M20" s="33">
        <v>0.01</v>
      </c>
      <c r="N20" s="34">
        <v>5.0E-4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44" t="s">
        <v>20</v>
      </c>
      <c r="D21" s="46"/>
      <c r="E21" s="47"/>
      <c r="F21" s="48"/>
      <c r="G21" s="34">
        <v>2.5E-4</v>
      </c>
      <c r="H21" s="49"/>
      <c r="I21" s="44" t="s">
        <v>20</v>
      </c>
      <c r="K21" s="46"/>
      <c r="L21" s="47"/>
      <c r="M21" s="48"/>
      <c r="N21" s="34">
        <v>2.5E-4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36" t="s">
        <v>22</v>
      </c>
      <c r="D22" s="25"/>
      <c r="E22" s="37"/>
      <c r="F22" s="33">
        <v>-0.0248</v>
      </c>
      <c r="G22" s="34">
        <v>-0.0235</v>
      </c>
      <c r="H22" s="35"/>
      <c r="I22" s="36" t="s">
        <v>22</v>
      </c>
      <c r="K22" s="25"/>
      <c r="L22" s="26">
        <v>-0.01</v>
      </c>
      <c r="M22" s="33">
        <v>-0.032</v>
      </c>
      <c r="N22" s="50">
        <v>-0.02425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36" t="s">
        <v>24</v>
      </c>
      <c r="D23" s="25"/>
      <c r="E23" s="37">
        <v>-0.0055</v>
      </c>
      <c r="F23" s="33">
        <v>0.015</v>
      </c>
      <c r="G23" s="38"/>
      <c r="H23" s="35"/>
      <c r="I23" s="36" t="s">
        <v>24</v>
      </c>
      <c r="K23" s="25"/>
      <c r="L23" s="26">
        <v>0.0</v>
      </c>
      <c r="M23" s="33">
        <v>0.0</v>
      </c>
      <c r="N23" s="38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36" t="s">
        <v>25</v>
      </c>
      <c r="D24" s="25"/>
      <c r="E24" s="37">
        <v>0.005</v>
      </c>
      <c r="F24" s="33">
        <v>0.009</v>
      </c>
      <c r="G24" s="34">
        <v>0.02</v>
      </c>
      <c r="H24" s="35"/>
      <c r="I24" s="36" t="s">
        <v>25</v>
      </c>
      <c r="K24" s="25"/>
      <c r="L24" s="26">
        <v>0.009</v>
      </c>
      <c r="M24" s="33">
        <v>0.03</v>
      </c>
      <c r="N24" s="34">
        <v>0.02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36" t="s">
        <v>30</v>
      </c>
      <c r="D25" s="25"/>
      <c r="E25" s="37">
        <v>5.0E-4</v>
      </c>
      <c r="F25" s="33">
        <v>8.0E-4</v>
      </c>
      <c r="G25" s="34">
        <v>0.0015</v>
      </c>
      <c r="H25" s="35"/>
      <c r="I25" s="36" t="s">
        <v>30</v>
      </c>
      <c r="K25" s="25"/>
      <c r="L25" s="26">
        <v>0.001</v>
      </c>
      <c r="M25" s="33">
        <v>0.002</v>
      </c>
      <c r="N25" s="34">
        <v>0.0015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58" t="s">
        <v>34</v>
      </c>
      <c r="D26" s="46"/>
      <c r="E26" s="47"/>
      <c r="F26" s="48"/>
      <c r="G26" s="34">
        <v>0.002</v>
      </c>
      <c r="H26" s="35"/>
      <c r="I26" s="58" t="s">
        <v>34</v>
      </c>
      <c r="K26" s="46"/>
      <c r="L26" s="47"/>
      <c r="M26" s="48"/>
      <c r="N26" s="50">
        <v>0.00275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59"/>
      <c r="C27" s="59"/>
      <c r="D27" s="60"/>
      <c r="E27" s="60"/>
      <c r="F27" s="60"/>
      <c r="G27" s="60"/>
      <c r="H27" s="35"/>
      <c r="I27" s="60"/>
      <c r="J27" s="60"/>
      <c r="K27" s="60"/>
      <c r="L27" s="60"/>
      <c r="M27" s="60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59"/>
      <c r="C28" s="59"/>
      <c r="D28" s="49"/>
      <c r="E28" s="49"/>
      <c r="F28" s="49"/>
      <c r="G28" s="60"/>
      <c r="H28" s="35"/>
      <c r="I28" s="60"/>
      <c r="J28" s="60"/>
      <c r="K28" s="49"/>
      <c r="L28" s="49"/>
      <c r="M28" s="49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20" t="s">
        <v>37</v>
      </c>
      <c r="D29" s="61" t="s">
        <v>12</v>
      </c>
      <c r="E29" s="62" t="s">
        <v>13</v>
      </c>
      <c r="F29" s="63" t="s">
        <v>14</v>
      </c>
      <c r="G29" s="18" t="s">
        <v>15</v>
      </c>
      <c r="H29" s="35"/>
      <c r="I29" s="64" t="s">
        <v>38</v>
      </c>
      <c r="K29" s="61" t="s">
        <v>12</v>
      </c>
      <c r="L29" s="62" t="s">
        <v>13</v>
      </c>
      <c r="M29" s="63" t="s">
        <v>14</v>
      </c>
      <c r="N29" s="18" t="s">
        <v>15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24" t="s">
        <v>8</v>
      </c>
      <c r="D30" s="25">
        <v>0.8525</v>
      </c>
      <c r="E30" s="26">
        <v>0.8675</v>
      </c>
      <c r="F30" s="78">
        <v>0.851</v>
      </c>
      <c r="G30" s="34">
        <v>0.97925</v>
      </c>
      <c r="H30" s="35"/>
      <c r="I30" s="36" t="s">
        <v>8</v>
      </c>
      <c r="K30" s="25">
        <v>0.79</v>
      </c>
      <c r="L30" s="26">
        <v>0.74</v>
      </c>
      <c r="M30" s="33">
        <v>0.72</v>
      </c>
      <c r="N30" s="34">
        <v>0.97925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24" t="s">
        <v>9</v>
      </c>
      <c r="D31" s="25">
        <v>0.125</v>
      </c>
      <c r="E31" s="26">
        <v>0.11</v>
      </c>
      <c r="F31" s="78">
        <v>0.11</v>
      </c>
      <c r="G31" s="38"/>
      <c r="H31" s="60"/>
      <c r="I31" s="36" t="s">
        <v>9</v>
      </c>
      <c r="K31" s="25">
        <v>0.14</v>
      </c>
      <c r="L31" s="26">
        <v>0.2</v>
      </c>
      <c r="M31" s="33">
        <v>0.2</v>
      </c>
      <c r="N31" s="38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36" t="s">
        <v>10</v>
      </c>
      <c r="D32" s="25">
        <v>0.02</v>
      </c>
      <c r="E32" s="26">
        <v>0.02</v>
      </c>
      <c r="F32" s="78">
        <v>0.035</v>
      </c>
      <c r="G32" s="34">
        <v>0.02</v>
      </c>
      <c r="H32" s="49"/>
      <c r="I32" s="36" t="s">
        <v>10</v>
      </c>
      <c r="K32" s="25">
        <v>0.06</v>
      </c>
      <c r="L32" s="26">
        <v>0.05</v>
      </c>
      <c r="M32" s="33">
        <v>0.06</v>
      </c>
      <c r="N32" s="34">
        <v>0.02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36" t="s">
        <v>16</v>
      </c>
      <c r="D33" s="25">
        <v>0.0025</v>
      </c>
      <c r="E33" s="26">
        <v>0.0025</v>
      </c>
      <c r="F33" s="78">
        <v>0.004</v>
      </c>
      <c r="G33" s="34">
        <v>5.0E-4</v>
      </c>
      <c r="H33" s="49"/>
      <c r="I33" s="36" t="s">
        <v>16</v>
      </c>
      <c r="K33" s="25">
        <v>0.01</v>
      </c>
      <c r="L33" s="26">
        <v>0.01</v>
      </c>
      <c r="M33" s="33">
        <v>0.02</v>
      </c>
      <c r="N33" s="34">
        <v>5.0E-4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44" t="s">
        <v>20</v>
      </c>
      <c r="D34" s="46"/>
      <c r="E34" s="47"/>
      <c r="F34" s="48"/>
      <c r="G34" s="34">
        <v>2.5E-4</v>
      </c>
      <c r="H34" s="49"/>
      <c r="I34" s="44" t="s">
        <v>20</v>
      </c>
      <c r="K34" s="46"/>
      <c r="L34" s="47"/>
      <c r="M34" s="48"/>
      <c r="N34" s="34">
        <v>2.5E-4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36" t="s">
        <v>22</v>
      </c>
      <c r="D35" s="82"/>
      <c r="E35" s="26">
        <v>-0.0048</v>
      </c>
      <c r="F35" s="33">
        <v>-0.0054</v>
      </c>
      <c r="G35" s="34">
        <v>-0.0235</v>
      </c>
      <c r="H35" s="49"/>
      <c r="I35" s="36" t="s">
        <v>22</v>
      </c>
      <c r="K35" s="25"/>
      <c r="L35" s="26">
        <v>-0.0065</v>
      </c>
      <c r="M35" s="33">
        <v>-0.0108</v>
      </c>
      <c r="N35" s="50">
        <v>-0.02375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36" t="s">
        <v>24</v>
      </c>
      <c r="D36" s="82"/>
      <c r="E36" s="26">
        <v>0.002</v>
      </c>
      <c r="F36" s="33">
        <v>0.0</v>
      </c>
      <c r="G36" s="38"/>
      <c r="H36" s="49"/>
      <c r="I36" s="36" t="s">
        <v>24</v>
      </c>
      <c r="K36" s="25"/>
      <c r="L36" s="26">
        <v>0.0</v>
      </c>
      <c r="M36" s="33">
        <v>0.0</v>
      </c>
      <c r="N36" s="38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36" t="s">
        <v>25</v>
      </c>
      <c r="D37" s="82"/>
      <c r="E37" s="26">
        <v>0.0025</v>
      </c>
      <c r="F37" s="33">
        <v>0.005</v>
      </c>
      <c r="G37" s="34">
        <v>0.02</v>
      </c>
      <c r="H37" s="49"/>
      <c r="I37" s="36" t="s">
        <v>25</v>
      </c>
      <c r="K37" s="25"/>
      <c r="L37" s="26">
        <v>0.006</v>
      </c>
      <c r="M37" s="33">
        <v>0.01</v>
      </c>
      <c r="N37" s="34">
        <v>0.02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36" t="s">
        <v>30</v>
      </c>
      <c r="D38" s="82"/>
      <c r="E38" s="26">
        <v>3.0E-4</v>
      </c>
      <c r="F38" s="33">
        <v>4.0E-4</v>
      </c>
      <c r="G38" s="34">
        <v>0.0015</v>
      </c>
      <c r="H38" s="49"/>
      <c r="I38" s="36" t="s">
        <v>30</v>
      </c>
      <c r="K38" s="25"/>
      <c r="L38" s="26">
        <v>5.0E-4</v>
      </c>
      <c r="M38" s="33">
        <v>8.0E-4</v>
      </c>
      <c r="N38" s="34">
        <v>0.0015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58" t="s">
        <v>34</v>
      </c>
      <c r="D39" s="46"/>
      <c r="E39" s="47"/>
      <c r="F39" s="48"/>
      <c r="G39" s="34">
        <v>0.002</v>
      </c>
      <c r="H39" s="49"/>
      <c r="I39" s="58" t="s">
        <v>34</v>
      </c>
      <c r="K39" s="46"/>
      <c r="L39" s="47"/>
      <c r="M39" s="48"/>
      <c r="N39" s="50">
        <v>0.00225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9"/>
      <c r="C40" s="19"/>
      <c r="D40" s="49"/>
      <c r="E40" s="49"/>
      <c r="F40" s="49"/>
      <c r="G40" s="60"/>
      <c r="H40" s="49"/>
      <c r="I40" s="60"/>
      <c r="J40" s="60"/>
      <c r="K40" s="49"/>
      <c r="L40" s="49"/>
      <c r="M40" s="49"/>
      <c r="N40" s="88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9"/>
      <c r="C41" s="19"/>
      <c r="D41" s="49"/>
      <c r="E41" s="49"/>
      <c r="F41" s="49"/>
      <c r="G41" s="60"/>
      <c r="H41" s="49"/>
      <c r="I41" s="60"/>
      <c r="J41" s="60"/>
      <c r="K41" s="49"/>
      <c r="L41" s="49"/>
      <c r="M41" s="49"/>
      <c r="N41" s="88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4" t="s">
        <v>39</v>
      </c>
      <c r="D42" s="61" t="s">
        <v>12</v>
      </c>
      <c r="E42" s="62" t="s">
        <v>13</v>
      </c>
      <c r="F42" s="63" t="s">
        <v>14</v>
      </c>
      <c r="G42" s="18" t="s">
        <v>15</v>
      </c>
      <c r="H42" s="49"/>
      <c r="I42" s="64" t="s">
        <v>40</v>
      </c>
      <c r="K42" s="61" t="s">
        <v>12</v>
      </c>
      <c r="L42" s="62" t="s">
        <v>13</v>
      </c>
      <c r="M42" s="63" t="s">
        <v>14</v>
      </c>
      <c r="N42" s="18" t="s">
        <v>15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24" t="s">
        <v>8</v>
      </c>
      <c r="D43" s="25">
        <v>0.75</v>
      </c>
      <c r="E43" s="26">
        <v>0.75</v>
      </c>
      <c r="F43" s="78">
        <v>0.717</v>
      </c>
      <c r="G43" s="34">
        <v>0.97925</v>
      </c>
      <c r="H43" s="49"/>
      <c r="I43" s="36" t="s">
        <v>8</v>
      </c>
      <c r="K43" s="25">
        <v>0.6</v>
      </c>
      <c r="L43" s="26">
        <v>0.6</v>
      </c>
      <c r="M43" s="33">
        <f t="shared" ref="M43:M46" si="2">I120</f>
        <v>0.525</v>
      </c>
      <c r="N43" s="34">
        <v>0.97925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24" t="s">
        <v>9</v>
      </c>
      <c r="D44" s="25">
        <v>0.2</v>
      </c>
      <c r="E44" s="26">
        <v>0.2</v>
      </c>
      <c r="F44" s="78">
        <v>0.2</v>
      </c>
      <c r="G44" s="38"/>
      <c r="H44" s="49"/>
      <c r="I44" s="36" t="s">
        <v>9</v>
      </c>
      <c r="K44" s="25">
        <v>0.335</v>
      </c>
      <c r="L44" s="26">
        <v>0.335</v>
      </c>
      <c r="M44" s="33">
        <f t="shared" si="2"/>
        <v>0.335</v>
      </c>
      <c r="N44" s="38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36" t="s">
        <v>10</v>
      </c>
      <c r="D45" s="25">
        <v>0.045</v>
      </c>
      <c r="E45" s="26">
        <v>0.045</v>
      </c>
      <c r="F45" s="78">
        <v>0.075</v>
      </c>
      <c r="G45" s="34">
        <v>0.02</v>
      </c>
      <c r="H45" s="49"/>
      <c r="I45" s="36" t="s">
        <v>10</v>
      </c>
      <c r="K45" s="25">
        <v>0.05</v>
      </c>
      <c r="L45" s="26">
        <v>0.05</v>
      </c>
      <c r="M45" s="33">
        <f t="shared" si="2"/>
        <v>0.12</v>
      </c>
      <c r="N45" s="34">
        <v>0.02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36" t="s">
        <v>16</v>
      </c>
      <c r="D46" s="25">
        <v>0.005</v>
      </c>
      <c r="E46" s="26">
        <v>0.005</v>
      </c>
      <c r="F46" s="78">
        <v>0.008</v>
      </c>
      <c r="G46" s="34">
        <v>5.0E-4</v>
      </c>
      <c r="H46" s="49"/>
      <c r="I46" s="36" t="s">
        <v>16</v>
      </c>
      <c r="K46" s="25">
        <v>0.015</v>
      </c>
      <c r="L46" s="26">
        <v>0.015</v>
      </c>
      <c r="M46" s="33">
        <f t="shared" si="2"/>
        <v>0.02</v>
      </c>
      <c r="N46" s="34">
        <v>5.0E-4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44" t="s">
        <v>20</v>
      </c>
      <c r="D47" s="46"/>
      <c r="E47" s="47"/>
      <c r="F47" s="48"/>
      <c r="G47" s="34">
        <v>2.5E-4</v>
      </c>
      <c r="H47" s="49"/>
      <c r="I47" s="44" t="s">
        <v>20</v>
      </c>
      <c r="K47" s="46"/>
      <c r="L47" s="47"/>
      <c r="M47" s="48"/>
      <c r="N47" s="34">
        <v>2.5E-4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36" t="s">
        <v>22</v>
      </c>
      <c r="D48" s="25"/>
      <c r="E48" s="26">
        <v>-0.0086</v>
      </c>
      <c r="F48" s="33">
        <v>-0.0099</v>
      </c>
      <c r="G48" s="34">
        <v>-0.0235</v>
      </c>
      <c r="H48" s="49"/>
      <c r="I48" s="36" t="s">
        <v>22</v>
      </c>
      <c r="K48" s="25"/>
      <c r="L48" s="26">
        <v>-0.015</v>
      </c>
      <c r="M48" s="33">
        <v>-0.0415</v>
      </c>
      <c r="N48" s="50">
        <v>-0.0245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36" t="s">
        <v>24</v>
      </c>
      <c r="D49" s="25"/>
      <c r="E49" s="26">
        <v>0.0025</v>
      </c>
      <c r="F49" s="33">
        <v>0.0</v>
      </c>
      <c r="G49" s="38"/>
      <c r="H49" s="49"/>
      <c r="I49" s="36" t="s">
        <v>24</v>
      </c>
      <c r="K49" s="25"/>
      <c r="L49" s="26">
        <v>0.0</v>
      </c>
      <c r="M49" s="33">
        <v>0.021</v>
      </c>
      <c r="N49" s="38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36" t="s">
        <v>25</v>
      </c>
      <c r="D50" s="25"/>
      <c r="E50" s="26">
        <v>0.0055</v>
      </c>
      <c r="F50" s="33">
        <v>0.009</v>
      </c>
      <c r="G50" s="34">
        <v>0.02</v>
      </c>
      <c r="H50" s="49"/>
      <c r="I50" s="36" t="s">
        <v>25</v>
      </c>
      <c r="K50" s="25"/>
      <c r="L50" s="26">
        <v>0.014</v>
      </c>
      <c r="M50" s="33">
        <v>0.019</v>
      </c>
      <c r="N50" s="34">
        <v>0.02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36" t="s">
        <v>30</v>
      </c>
      <c r="D51" s="25"/>
      <c r="E51" s="26">
        <v>6.0E-4</v>
      </c>
      <c r="F51" s="33">
        <v>9.0E-4</v>
      </c>
      <c r="G51" s="34">
        <v>0.0015</v>
      </c>
      <c r="H51" s="88"/>
      <c r="I51" s="36" t="s">
        <v>30</v>
      </c>
      <c r="K51" s="25"/>
      <c r="L51" s="26">
        <v>0.001</v>
      </c>
      <c r="M51" s="33">
        <v>0.0015</v>
      </c>
      <c r="N51" s="34">
        <v>0.0015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58" t="s">
        <v>34</v>
      </c>
      <c r="D52" s="46"/>
      <c r="E52" s="47"/>
      <c r="F52" s="48"/>
      <c r="G52" s="34">
        <v>0.002</v>
      </c>
      <c r="H52" s="88"/>
      <c r="I52" s="58" t="s">
        <v>34</v>
      </c>
      <c r="K52" s="46"/>
      <c r="L52" s="47"/>
      <c r="M52" s="48"/>
      <c r="N52" s="50">
        <v>0.003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4" t="s">
        <v>41</v>
      </c>
      <c r="D55" s="94"/>
      <c r="E55" s="95" t="s">
        <v>13</v>
      </c>
      <c r="J55" s="96" t="s">
        <v>14</v>
      </c>
      <c r="O55" s="97" t="s">
        <v>15</v>
      </c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98" t="s">
        <v>42</v>
      </c>
      <c r="D56" s="99">
        <v>5.0</v>
      </c>
      <c r="E56" s="16">
        <v>6.0</v>
      </c>
      <c r="F56" s="16">
        <v>7.0</v>
      </c>
      <c r="G56" s="16">
        <v>8.0</v>
      </c>
      <c r="H56" s="16">
        <v>9.0</v>
      </c>
      <c r="I56" s="16">
        <v>10.0</v>
      </c>
      <c r="J56" s="17">
        <v>11.0</v>
      </c>
      <c r="K56" s="17">
        <v>12.0</v>
      </c>
      <c r="L56" s="17">
        <v>13.0</v>
      </c>
      <c r="M56" s="17">
        <v>14.0</v>
      </c>
      <c r="N56" s="17">
        <v>15.0</v>
      </c>
      <c r="O56" s="100">
        <v>16.0</v>
      </c>
      <c r="P56" s="100">
        <v>17.0</v>
      </c>
      <c r="Q56" s="100">
        <v>18.0</v>
      </c>
      <c r="R56" s="100">
        <v>19.0</v>
      </c>
      <c r="S56" s="100">
        <v>20.0</v>
      </c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98" t="s">
        <v>8</v>
      </c>
      <c r="D57" s="101">
        <f t="shared" ref="D57:D60" si="6">VLOOKUP($B57,INDIRECT(CONCATENATE("ChestData", SUBSTITUTE($B$55," ",""))),3,FALSE)</f>
        <v>0.74</v>
      </c>
      <c r="E57" s="102">
        <f t="shared" ref="E57:I57" si="3">VLOOKUP($B57,INDIRECT(CONCATENATE("ChestData", SUBSTITUTE($B$55," ",""))),4,FALSE)+HLOOKUP($E$55,INDIRECT(CONCATENATE("ChestData", SUBSTITUTE($B$55," ",""))),7,FALSE)*(MOD(E$56-1, 5)+1)</f>
        <v>0.1725</v>
      </c>
      <c r="F57" s="102">
        <f t="shared" si="3"/>
        <v>0.145</v>
      </c>
      <c r="G57" s="102">
        <f t="shared" si="3"/>
        <v>0.1175</v>
      </c>
      <c r="H57" s="102">
        <f t="shared" si="3"/>
        <v>0.09</v>
      </c>
      <c r="I57" s="102">
        <f t="shared" si="3"/>
        <v>0.0625</v>
      </c>
      <c r="J57" s="103">
        <f t="shared" ref="J57:N57" si="4">VLOOKUP($B57,INDIRECT(CONCATENATE("ChestData", SUBSTITUTE($B$55," ",""))),5,FALSE)+HLOOKUP($J$55,INDIRECT(CONCATENATE("ChestData", SUBSTITUTE($B$55," ",""))),7,FALSE)*(MOD(J$56-1, 5)+1)</f>
        <v>0.05</v>
      </c>
      <c r="K57" s="103">
        <f t="shared" si="4"/>
        <v>0.0375</v>
      </c>
      <c r="L57" s="103">
        <f t="shared" si="4"/>
        <v>0.025</v>
      </c>
      <c r="M57" s="103">
        <f t="shared" si="4"/>
        <v>0.0125</v>
      </c>
      <c r="N57" s="103">
        <f t="shared" si="4"/>
        <v>0</v>
      </c>
      <c r="O57" s="104">
        <f t="shared" ref="O57:S57" si="5">VLOOKUP($B57,INDIRECT(CONCATENATE("ChestData", SUBSTITUTE($B$55," ",""))),6,FALSE)+HLOOKUP($O$55,INDIRECT(CONCATENATE("ChestData", SUBSTITUTE($B$55," ",""))),7,FALSE)*(MOD(O$56-1, 5)+1)</f>
        <v>0.953</v>
      </c>
      <c r="P57" s="104">
        <f t="shared" si="5"/>
        <v>0.92675</v>
      </c>
      <c r="Q57" s="104">
        <f t="shared" si="5"/>
        <v>0.9005</v>
      </c>
      <c r="R57" s="104">
        <f t="shared" si="5"/>
        <v>0.87425</v>
      </c>
      <c r="S57" s="104">
        <f t="shared" si="5"/>
        <v>0.848</v>
      </c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98" t="s">
        <v>9</v>
      </c>
      <c r="D58" s="105">
        <f t="shared" si="6"/>
        <v>0.22</v>
      </c>
      <c r="E58" s="106">
        <f t="shared" ref="E58:I58" si="7">VLOOKUP($B58,INDIRECT(CONCATENATE("ChestData", SUBSTITUTE($B$55," ",""))),4,FALSE)+HLOOKUP($E$55,INDIRECT(CONCATENATE("ChestData", SUBSTITUTE($B$55," ",""))),8,FALSE)*(MOD(E$56-1, 5)+1)</f>
        <v>0.7</v>
      </c>
      <c r="F58" s="106">
        <f t="shared" si="7"/>
        <v>0.7</v>
      </c>
      <c r="G58" s="106">
        <f t="shared" si="7"/>
        <v>0.7</v>
      </c>
      <c r="H58" s="106">
        <f t="shared" si="7"/>
        <v>0.7</v>
      </c>
      <c r="I58" s="106">
        <f t="shared" si="7"/>
        <v>0.7</v>
      </c>
      <c r="J58" s="108">
        <f t="shared" ref="J58:N58" si="8">VLOOKUP($B58,INDIRECT(CONCATENATE("ChestData", SUBSTITUTE($B$55," ",""))),5,FALSE)+HLOOKUP($J$73,INDIRECT(CONCATENATE("ChestData", SUBSTITUTE($B$55," ",""))),8,FALSE)*(MOD(J$56-1, 5)+1)</f>
        <v>0.6675</v>
      </c>
      <c r="K58" s="108">
        <f t="shared" si="8"/>
        <v>0.635</v>
      </c>
      <c r="L58" s="108">
        <f t="shared" si="8"/>
        <v>0.6025</v>
      </c>
      <c r="M58" s="108">
        <f t="shared" si="8"/>
        <v>0.57</v>
      </c>
      <c r="N58" s="108">
        <f t="shared" si="8"/>
        <v>0.5375</v>
      </c>
      <c r="O58" s="34">
        <f t="shared" ref="O58:S58" si="9">VLOOKUP($B58,INDIRECT(CONCATENATE("ChestData", SUBSTITUTE($B$55," ",""))),6,FALSE)+HLOOKUP($O$55,INDIRECT(CONCATENATE("ChestData", SUBSTITUTE($B$55," ",""))),8,FALSE)*(MOD(O$56-1, 5)+1)</f>
        <v>0</v>
      </c>
      <c r="P58" s="34">
        <f t="shared" si="9"/>
        <v>0</v>
      </c>
      <c r="Q58" s="34">
        <f t="shared" si="9"/>
        <v>0</v>
      </c>
      <c r="R58" s="34">
        <f t="shared" si="9"/>
        <v>0</v>
      </c>
      <c r="S58" s="34">
        <f t="shared" si="9"/>
        <v>0</v>
      </c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09" t="s">
        <v>10</v>
      </c>
      <c r="D59" s="101">
        <f t="shared" si="6"/>
        <v>0.03</v>
      </c>
      <c r="E59" s="102">
        <f t="shared" ref="E59:I59" si="10">VLOOKUP($B59,INDIRECT(CONCATENATE("ChestData", SUBSTITUTE($B$55," ",""))),4,FALSE)+HLOOKUP($E$55,INDIRECT(CONCATENATE("ChestData", SUBSTITUTE($B$55," ",""))),9,FALSE)*(MOD(E$56-1, 5)+1)</f>
        <v>0.101</v>
      </c>
      <c r="F59" s="102">
        <f t="shared" si="10"/>
        <v>0.127</v>
      </c>
      <c r="G59" s="102">
        <f t="shared" si="10"/>
        <v>0.153</v>
      </c>
      <c r="H59" s="102">
        <f t="shared" si="10"/>
        <v>0.179</v>
      </c>
      <c r="I59" s="102">
        <f t="shared" si="10"/>
        <v>0.205</v>
      </c>
      <c r="J59" s="103">
        <f t="shared" ref="J59:N59" si="11">VLOOKUP($B59,INDIRECT(CONCATENATE("ChestData", SUBSTITUTE($B$55," ",""))),5,FALSE)+HLOOKUP($J$73,INDIRECT(CONCATENATE("ChestData", SUBSTITUTE($B$55," ",""))),9,FALSE)*(MOD(J$56-1, 5)+1)</f>
        <v>0.248</v>
      </c>
      <c r="K59" s="103">
        <f t="shared" si="11"/>
        <v>0.291</v>
      </c>
      <c r="L59" s="103">
        <f t="shared" si="11"/>
        <v>0.334</v>
      </c>
      <c r="M59" s="103">
        <f t="shared" si="11"/>
        <v>0.377</v>
      </c>
      <c r="N59" s="103">
        <f t="shared" si="11"/>
        <v>0.42</v>
      </c>
      <c r="O59" s="104">
        <f t="shared" ref="O59:S59" si="12">VLOOKUP($B59,INDIRECT(CONCATENATE("ChestData", SUBSTITUTE($B$55," ",""))),6,FALSE)+HLOOKUP($O$55,INDIRECT(CONCATENATE("ChestData", SUBSTITUTE($B$55," ",""))),9,FALSE)*(MOD(O$56-1, 5)+1)</f>
        <v>0.04</v>
      </c>
      <c r="P59" s="104">
        <f t="shared" si="12"/>
        <v>0.06</v>
      </c>
      <c r="Q59" s="104">
        <f t="shared" si="12"/>
        <v>0.08</v>
      </c>
      <c r="R59" s="104">
        <f t="shared" si="12"/>
        <v>0.1</v>
      </c>
      <c r="S59" s="104">
        <f t="shared" si="12"/>
        <v>0.12</v>
      </c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98" t="s">
        <v>16</v>
      </c>
      <c r="D60" s="105">
        <f t="shared" si="6"/>
        <v>0.01</v>
      </c>
      <c r="E60" s="106">
        <f t="shared" ref="E60:I60" si="13">VLOOKUP($B60,INDIRECT(CONCATENATE("ChestData", SUBSTITUTE($B$55," ",""))),4,FALSE)+HLOOKUP($E$55,INDIRECT(CONCATENATE("ChestData", SUBSTITUTE($B$55," ",""))),10,FALSE)*(MOD(E$56-1, 5)+1)</f>
        <v>0.0265</v>
      </c>
      <c r="F60" s="106">
        <f t="shared" si="13"/>
        <v>0.028</v>
      </c>
      <c r="G60" s="106">
        <f t="shared" si="13"/>
        <v>0.0295</v>
      </c>
      <c r="H60" s="106">
        <f t="shared" si="13"/>
        <v>0.031</v>
      </c>
      <c r="I60" s="106">
        <f t="shared" si="13"/>
        <v>0.0325</v>
      </c>
      <c r="J60" s="108">
        <f t="shared" ref="J60:N60" si="14">VLOOKUP($B60,INDIRECT(CONCATENATE("ChestData", SUBSTITUTE($B$55," ",""))),5,FALSE)+HLOOKUP($J$73,INDIRECT(CONCATENATE("ChestData", SUBSTITUTE($B$55," ",""))),10,FALSE)*(MOD(J$56-1, 5)+1)</f>
        <v>0.0345</v>
      </c>
      <c r="K60" s="108">
        <f t="shared" si="14"/>
        <v>0.0365</v>
      </c>
      <c r="L60" s="108">
        <f t="shared" si="14"/>
        <v>0.0385</v>
      </c>
      <c r="M60" s="108">
        <f t="shared" si="14"/>
        <v>0.0405</v>
      </c>
      <c r="N60" s="108">
        <f t="shared" si="14"/>
        <v>0.0425</v>
      </c>
      <c r="O60" s="34">
        <f t="shared" ref="O60:S60" si="15">VLOOKUP($B60,INDIRECT(CONCATENATE("ChestData", SUBSTITUTE($B$55," ",""))),6,FALSE)+HLOOKUP($O$55,INDIRECT(CONCATENATE("ChestData", SUBSTITUTE($B$55," ",""))),10,FALSE)*(MOD(O$56-1, 5)+1)</f>
        <v>0.002</v>
      </c>
      <c r="P60" s="34">
        <f t="shared" si="15"/>
        <v>0.0035</v>
      </c>
      <c r="Q60" s="34">
        <f t="shared" si="15"/>
        <v>0.005</v>
      </c>
      <c r="R60" s="34">
        <f t="shared" si="15"/>
        <v>0.0065</v>
      </c>
      <c r="S60" s="34">
        <f t="shared" si="15"/>
        <v>0.008</v>
      </c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20" t="s">
        <v>20</v>
      </c>
      <c r="D61" s="121">
        <v>0.0</v>
      </c>
      <c r="E61" s="102">
        <v>0.0</v>
      </c>
      <c r="F61" s="102">
        <v>0.0</v>
      </c>
      <c r="G61" s="102">
        <v>0.0</v>
      </c>
      <c r="H61" s="102">
        <v>0.0</v>
      </c>
      <c r="I61" s="102">
        <v>0.0</v>
      </c>
      <c r="J61" s="103">
        <v>0.0</v>
      </c>
      <c r="K61" s="103">
        <v>0.0</v>
      </c>
      <c r="L61" s="103">
        <v>0.0</v>
      </c>
      <c r="M61" s="103">
        <v>0.0</v>
      </c>
      <c r="N61" s="103">
        <v>0.0</v>
      </c>
      <c r="O61" s="104">
        <f t="shared" ref="O61:S61" si="16">VLOOKUP($B61,INDIRECT(CONCATENATE("ChestData", SUBSTITUTE($B$55," ",""))),6,FALSE)+HLOOKUP($O$55,INDIRECT(CONCATENATE("ChestData", SUBSTITUTE($B$55," ",""))),11,FALSE)*(MOD(O$56-1, 5)+1)</f>
        <v>0.005</v>
      </c>
      <c r="P61" s="104">
        <f t="shared" si="16"/>
        <v>0.00975</v>
      </c>
      <c r="Q61" s="104">
        <f t="shared" si="16"/>
        <v>0.0145</v>
      </c>
      <c r="R61" s="104">
        <f t="shared" si="16"/>
        <v>0.01925</v>
      </c>
      <c r="S61" s="104">
        <f t="shared" si="16"/>
        <v>0.024</v>
      </c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98" t="s">
        <v>44</v>
      </c>
      <c r="D62" s="123">
        <f>('Enchant Stats'!$D$38*D57)+('Enchant Stats'!$D$39*D58)+('Enchant Stats'!$D$40*D59)+('Enchant Stats'!$D$41*D60 )</f>
        <v>0.4175504007</v>
      </c>
      <c r="E62" s="124">
        <f>('Enchant Stats'!$D$38*E57)+('Enchant Stats'!$D$39*E58)+('Enchant Stats'!$D$40*E59)+('Enchant Stats'!$D$41*E60 )</f>
        <v>1.167169948</v>
      </c>
      <c r="F62" s="124">
        <f>('Enchant Stats'!$D$38*F57)+('Enchant Stats'!$D$39*F58)+('Enchant Stats'!$D$40*F59)+('Enchant Stats'!$D$41*F60 )</f>
        <v>1.279103352</v>
      </c>
      <c r="G62" s="124">
        <f>('Enchant Stats'!$D$38*G57)+('Enchant Stats'!$D$39*G58)+('Enchant Stats'!$D$40*G59)+('Enchant Stats'!$D$41*G60 )</f>
        <v>1.391036756</v>
      </c>
      <c r="H62" s="124">
        <f>('Enchant Stats'!$D$38*H57)+('Enchant Stats'!$D$39*H58)+('Enchant Stats'!$D$40*H59)+('Enchant Stats'!$D$41*H60 )</f>
        <v>1.50297016</v>
      </c>
      <c r="I62" s="124">
        <f>('Enchant Stats'!$D$38*I57)+('Enchant Stats'!$D$39*I58)+('Enchant Stats'!$D$40*I59)+('Enchant Stats'!$D$41*I60 )</f>
        <v>1.614903564</v>
      </c>
      <c r="J62" s="125">
        <f>('Enchant Stats'!$D$38*J57)+('Enchant Stats'!$D$39*J58)+('Enchant Stats'!$D$40*J59)+('Enchant Stats'!$D$41*J60 )</f>
        <v>1.779772229</v>
      </c>
      <c r="K62" s="125">
        <f>('Enchant Stats'!$D$38*K57)+('Enchant Stats'!$D$39*K58)+('Enchant Stats'!$D$40*K59)+('Enchant Stats'!$D$41*K60 )</f>
        <v>1.944640895</v>
      </c>
      <c r="L62" s="125">
        <f>('Enchant Stats'!$D$38*L57)+('Enchant Stats'!$D$39*L58)+('Enchant Stats'!$D$40*L59)+('Enchant Stats'!$D$41*L60 )</f>
        <v>2.10950956</v>
      </c>
      <c r="M62" s="125">
        <f>('Enchant Stats'!$D$38*M57)+('Enchant Stats'!$D$39*M58)+('Enchant Stats'!$D$40*M59)+('Enchant Stats'!$D$41*M60 )</f>
        <v>2.274378226</v>
      </c>
      <c r="N62" s="125">
        <f>('Enchant Stats'!$D$38*N57)+('Enchant Stats'!$D$39*N58)+('Enchant Stats'!$D$40*N59)+('Enchant Stats'!$D$41*N60 )</f>
        <v>2.439246892</v>
      </c>
      <c r="O62" s="126">
        <f>('Enchant Stats'!$D$38*O57)+('Enchant Stats'!$D$39*O58)+('Enchant Stats'!$D$40*O59)+('Enchant Stats'!$D$41*O60 )</f>
        <v>0.1780652354</v>
      </c>
      <c r="P62" s="126">
        <f>('Enchant Stats'!$D$38*P57)+('Enchant Stats'!$D$39*P58)+('Enchant Stats'!$D$40*P59)+('Enchant Stats'!$D$41*P60 )</f>
        <v>0.273554359</v>
      </c>
      <c r="Q62" s="126">
        <f>('Enchant Stats'!$D$38*Q57)+('Enchant Stats'!$D$39*Q58)+('Enchant Stats'!$D$40*Q59)+('Enchant Stats'!$D$41*Q60 )</f>
        <v>0.3690434827</v>
      </c>
      <c r="R62" s="126">
        <f>('Enchant Stats'!$D$38*R57)+('Enchant Stats'!$D$39*R58)+('Enchant Stats'!$D$40*R59)+('Enchant Stats'!$D$41*R60 )</f>
        <v>0.4645326063</v>
      </c>
      <c r="S62" s="126">
        <f>('Enchant Stats'!$D$38*S57)+('Enchant Stats'!$D$39*S58)+('Enchant Stats'!$D$40*S59)+('Enchant Stats'!$D$41*S60 )</f>
        <v>0.5600217299</v>
      </c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4" t="s">
        <v>45</v>
      </c>
      <c r="D64" s="135"/>
      <c r="E64" s="95" t="s">
        <v>13</v>
      </c>
      <c r="J64" s="96" t="s">
        <v>14</v>
      </c>
      <c r="O64" s="97" t="s">
        <v>15</v>
      </c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98" t="s">
        <v>42</v>
      </c>
      <c r="D65" s="99">
        <v>5.0</v>
      </c>
      <c r="E65" s="16">
        <v>6.0</v>
      </c>
      <c r="F65" s="16">
        <v>7.0</v>
      </c>
      <c r="G65" s="16">
        <v>8.0</v>
      </c>
      <c r="H65" s="16">
        <v>9.0</v>
      </c>
      <c r="I65" s="16">
        <v>10.0</v>
      </c>
      <c r="J65" s="17">
        <v>11.0</v>
      </c>
      <c r="K65" s="17">
        <v>12.0</v>
      </c>
      <c r="L65" s="17">
        <v>13.0</v>
      </c>
      <c r="M65" s="17">
        <v>14.0</v>
      </c>
      <c r="N65" s="17">
        <v>15.0</v>
      </c>
      <c r="O65" s="100">
        <v>16.0</v>
      </c>
      <c r="P65" s="100">
        <v>17.0</v>
      </c>
      <c r="Q65" s="100">
        <v>18.0</v>
      </c>
      <c r="R65" s="100">
        <v>19.0</v>
      </c>
      <c r="S65" s="100">
        <v>20.0</v>
      </c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98" t="s">
        <v>8</v>
      </c>
      <c r="D66" s="101">
        <v>0.0</v>
      </c>
      <c r="E66" s="102">
        <f t="shared" ref="E66:I66" si="17">VLOOKUP($B66,INDIRECT(CONCATENATE("ChestData", SUBSTITUTE($B$64," ",""))),4,FALSE)+HLOOKUP($E$64,INDIRECT(CONCATENATE("ChestData", SUBSTITUTE($B$64," ",""))),7,FALSE)*(MOD(E$65-1, 5)+1)</f>
        <v>0</v>
      </c>
      <c r="F66" s="102">
        <f t="shared" si="17"/>
        <v>0</v>
      </c>
      <c r="G66" s="102">
        <f t="shared" si="17"/>
        <v>0</v>
      </c>
      <c r="H66" s="102">
        <f t="shared" si="17"/>
        <v>0</v>
      </c>
      <c r="I66" s="102">
        <f t="shared" si="17"/>
        <v>0</v>
      </c>
      <c r="J66" s="103">
        <f t="shared" ref="J66:N66" si="18">VLOOKUP($B66,INDIRECT(CONCATENATE("ChestData", SUBSTITUTE($B$64," ",""))),5,FALSE)+HLOOKUP($J$64,INDIRECT(CONCATENATE("ChestData", SUBSTITUTE($B$64," ",""))),7,FALSE)*(MOD(J$65-1, 5)+1)</f>
        <v>0.3392</v>
      </c>
      <c r="K66" s="103">
        <f t="shared" si="18"/>
        <v>0.3144</v>
      </c>
      <c r="L66" s="103">
        <f t="shared" si="18"/>
        <v>0.2896</v>
      </c>
      <c r="M66" s="103">
        <f t="shared" si="18"/>
        <v>0.2648</v>
      </c>
      <c r="N66" s="103">
        <f t="shared" si="18"/>
        <v>0.24</v>
      </c>
      <c r="O66" s="104">
        <f t="shared" ref="O66:S66" si="19">VLOOKUP($B66,INDIRECT(CONCATENATE("ChestData", SUBSTITUTE($B$64," ",""))),6,FALSE)+HLOOKUP($O$64,INDIRECT(CONCATENATE("ChestData", SUBSTITUTE($B$64," ",""))),7,FALSE)*(MOD(O$65-1, 5)+1)</f>
        <v>0.95575</v>
      </c>
      <c r="P66" s="104">
        <f t="shared" si="19"/>
        <v>0.93225</v>
      </c>
      <c r="Q66" s="104">
        <f t="shared" si="19"/>
        <v>0.90875</v>
      </c>
      <c r="R66" s="104">
        <f t="shared" si="19"/>
        <v>0.88525</v>
      </c>
      <c r="S66" s="104">
        <f t="shared" si="19"/>
        <v>0.86175</v>
      </c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98" t="s">
        <v>9</v>
      </c>
      <c r="D67" s="105">
        <f t="array" ref="D67">VLOOKUP($B67,INDIRECT(CONCATENATE("ChestData", SUBSTITUTE($B$64," ",""))),3,FALSE)</f>
        <v>1</v>
      </c>
      <c r="E67" s="106">
        <f t="shared" ref="E67:I67" si="20">VLOOKUP($B67,INDIRECT(CONCATENATE("ChestData", SUBSTITUTE($B$64," ",""))),4,FALSE)+HLOOKUP($E$64,INDIRECT(CONCATENATE("ChestData", SUBSTITUTE($B$64," ",""))),8,FALSE)*(MOD(E$65-1, 5)+1)</f>
        <v>0.9695</v>
      </c>
      <c r="F67" s="106">
        <f t="shared" si="20"/>
        <v>0.964</v>
      </c>
      <c r="G67" s="106">
        <f t="shared" si="20"/>
        <v>0.9585</v>
      </c>
      <c r="H67" s="106">
        <f t="shared" si="20"/>
        <v>0.953</v>
      </c>
      <c r="I67" s="106">
        <f t="shared" si="20"/>
        <v>0.9475</v>
      </c>
      <c r="J67" s="108">
        <f t="shared" ref="J67:N67" si="21">VLOOKUP($B67,INDIRECT(CONCATENATE("ChestData", SUBSTITUTE($B$64," ",""))),5,FALSE)+HLOOKUP($J$64,INDIRECT(CONCATENATE("ChestData", SUBSTITUTE($B$64," ",""))),8,FALSE)*(MOD(J$65-1, 5)+1)</f>
        <v>0.615</v>
      </c>
      <c r="K67" s="108">
        <f t="shared" si="21"/>
        <v>0.63</v>
      </c>
      <c r="L67" s="108">
        <f t="shared" si="21"/>
        <v>0.645</v>
      </c>
      <c r="M67" s="108">
        <f t="shared" si="21"/>
        <v>0.66</v>
      </c>
      <c r="N67" s="108">
        <f t="shared" si="21"/>
        <v>0.675</v>
      </c>
      <c r="O67" s="34">
        <f t="shared" ref="O67:S67" si="22">VLOOKUP($B67,INDIRECT(CONCATENATE("ChestData", SUBSTITUTE($B$64," ",""))),6,FALSE)+HLOOKUP($O$64,INDIRECT(CONCATENATE("ChestData", SUBSTITUTE($B$64," ",""))),8,FALSE)*(MOD(O$65-1, 5)+1)</f>
        <v>0</v>
      </c>
      <c r="P67" s="34">
        <f t="shared" si="22"/>
        <v>0</v>
      </c>
      <c r="Q67" s="34">
        <f t="shared" si="22"/>
        <v>0</v>
      </c>
      <c r="R67" s="34">
        <f t="shared" si="22"/>
        <v>0</v>
      </c>
      <c r="S67" s="34">
        <f t="shared" si="22"/>
        <v>0</v>
      </c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09" t="s">
        <v>10</v>
      </c>
      <c r="D68" s="101">
        <v>0.0</v>
      </c>
      <c r="E68" s="102">
        <f t="shared" ref="E68:I68" si="23">VLOOKUP($B68,INDIRECT(CONCATENATE("ChestData", SUBSTITUTE($B$64," ",""))),4,FALSE)+HLOOKUP($E$64,INDIRECT(CONCATENATE("ChestData", SUBSTITUTE($B$64," ",""))),9,FALSE)*(MOD(E$65-1, 5)+1)</f>
        <v>0.025</v>
      </c>
      <c r="F68" s="102">
        <f t="shared" si="23"/>
        <v>0.03</v>
      </c>
      <c r="G68" s="102">
        <f t="shared" si="23"/>
        <v>0.035</v>
      </c>
      <c r="H68" s="102">
        <f t="shared" si="23"/>
        <v>0.04</v>
      </c>
      <c r="I68" s="102">
        <f t="shared" si="23"/>
        <v>0.045</v>
      </c>
      <c r="J68" s="103">
        <f t="shared" ref="J68:N68" si="24">VLOOKUP($B68,INDIRECT(CONCATENATE("ChestData", SUBSTITUTE($B$64," ",""))),5,FALSE)+HLOOKUP($J$64,INDIRECT(CONCATENATE("ChestData", SUBSTITUTE($B$64," ",""))),9,FALSE)*(MOD(J$65-1, 5)+1)</f>
        <v>0.039</v>
      </c>
      <c r="K68" s="103">
        <f t="shared" si="24"/>
        <v>0.048</v>
      </c>
      <c r="L68" s="103">
        <f t="shared" si="24"/>
        <v>0.057</v>
      </c>
      <c r="M68" s="103">
        <f t="shared" si="24"/>
        <v>0.066</v>
      </c>
      <c r="N68" s="103">
        <f t="shared" si="24"/>
        <v>0.075</v>
      </c>
      <c r="O68" s="104">
        <f t="shared" ref="O68:S68" si="25">VLOOKUP($B68,INDIRECT(CONCATENATE("ChestData", SUBSTITUTE($B$64," ",""))),6,FALSE)+HLOOKUP($O$64,INDIRECT(CONCATENATE("ChestData", SUBSTITUTE($B$64," ",""))),9,FALSE)*(MOD(O$65-1, 5)+1)</f>
        <v>0.04</v>
      </c>
      <c r="P68" s="104">
        <f t="shared" si="25"/>
        <v>0.06</v>
      </c>
      <c r="Q68" s="104">
        <f t="shared" si="25"/>
        <v>0.08</v>
      </c>
      <c r="R68" s="104">
        <f t="shared" si="25"/>
        <v>0.1</v>
      </c>
      <c r="S68" s="104">
        <f t="shared" si="25"/>
        <v>0.12</v>
      </c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98" t="s">
        <v>16</v>
      </c>
      <c r="D69" s="105">
        <v>0.0</v>
      </c>
      <c r="E69" s="106">
        <f t="shared" ref="E69:I69" si="26">VLOOKUP($B69,INDIRECT(CONCATENATE("ChestData", SUBSTITUTE($B$64," ",""))),4,FALSE)+HLOOKUP($E$64,INDIRECT(CONCATENATE("ChestData", SUBSTITUTE($B$64," ",""))),10,FALSE)*(MOD(E$65-1, 5)+1)</f>
        <v>0.0055</v>
      </c>
      <c r="F69" s="106">
        <f t="shared" si="26"/>
        <v>0.006</v>
      </c>
      <c r="G69" s="106">
        <f t="shared" si="26"/>
        <v>0.0065</v>
      </c>
      <c r="H69" s="106">
        <f t="shared" si="26"/>
        <v>0.007</v>
      </c>
      <c r="I69" s="106">
        <f t="shared" si="26"/>
        <v>0.0075</v>
      </c>
      <c r="J69" s="108">
        <f t="shared" ref="J69:N69" si="27">VLOOKUP($B69,INDIRECT(CONCATENATE("ChestData", SUBSTITUTE($B$64," ",""))),5,FALSE)+HLOOKUP($J$64,INDIRECT(CONCATENATE("ChestData", SUBSTITUTE($B$64," ",""))),10,FALSE)*(MOD(J$65-1, 5)+1)</f>
        <v>0.0068</v>
      </c>
      <c r="K69" s="108">
        <f t="shared" si="27"/>
        <v>0.0076</v>
      </c>
      <c r="L69" s="108">
        <f t="shared" si="27"/>
        <v>0.0084</v>
      </c>
      <c r="M69" s="108">
        <f t="shared" si="27"/>
        <v>0.0092</v>
      </c>
      <c r="N69" s="108">
        <f t="shared" si="27"/>
        <v>0.01</v>
      </c>
      <c r="O69" s="34">
        <f t="shared" ref="O69:S69" si="28">VLOOKUP($B69,INDIRECT(CONCATENATE("ChestData", SUBSTITUTE($B$64," ",""))),6,FALSE)+HLOOKUP($O$64,INDIRECT(CONCATENATE("ChestData", SUBSTITUTE($B$64," ",""))),10,FALSE)*(MOD(O$65-1, 5)+1)</f>
        <v>0.002</v>
      </c>
      <c r="P69" s="34">
        <f t="shared" si="28"/>
        <v>0.0035</v>
      </c>
      <c r="Q69" s="34">
        <f t="shared" si="28"/>
        <v>0.005</v>
      </c>
      <c r="R69" s="34">
        <f t="shared" si="28"/>
        <v>0.0065</v>
      </c>
      <c r="S69" s="34">
        <f t="shared" si="28"/>
        <v>0.008</v>
      </c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20" t="s">
        <v>20</v>
      </c>
      <c r="D70" s="138">
        <v>0.0</v>
      </c>
      <c r="E70" s="102">
        <v>0.0</v>
      </c>
      <c r="F70" s="102">
        <v>0.0</v>
      </c>
      <c r="G70" s="102">
        <v>0.0</v>
      </c>
      <c r="H70" s="102">
        <v>0.0</v>
      </c>
      <c r="I70" s="102">
        <v>0.0</v>
      </c>
      <c r="J70" s="103">
        <v>0.0</v>
      </c>
      <c r="K70" s="103">
        <v>0.0</v>
      </c>
      <c r="L70" s="103">
        <v>0.0</v>
      </c>
      <c r="M70" s="103">
        <v>0.0</v>
      </c>
      <c r="N70" s="103">
        <v>0.0</v>
      </c>
      <c r="O70" s="104">
        <f t="shared" ref="O70:S70" si="29">VLOOKUP($B70,INDIRECT(CONCATENATE("ChestData", SUBSTITUTE($B$64," ",""))),6,FALSE)+HLOOKUP($O$64,INDIRECT(CONCATENATE("ChestData", SUBSTITUTE($B$64," ",""))),11,FALSE)*(MOD(O$65-1, 5)+1)</f>
        <v>0.00225</v>
      </c>
      <c r="P70" s="104">
        <f t="shared" si="29"/>
        <v>0.00425</v>
      </c>
      <c r="Q70" s="104">
        <f t="shared" si="29"/>
        <v>0.00625</v>
      </c>
      <c r="R70" s="104">
        <f t="shared" si="29"/>
        <v>0.00825</v>
      </c>
      <c r="S70" s="104">
        <f t="shared" si="29"/>
        <v>0.01025</v>
      </c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98" t="s">
        <v>44</v>
      </c>
      <c r="D71" s="139">
        <f>('Enchant Stats'!$D$40*D68)+('Enchant Stats'!$D$41*D69 )</f>
        <v>0</v>
      </c>
      <c r="E71" s="140">
        <f>('Enchant Stats'!$D$40*E68)+('Enchant Stats'!$D$41*E69 )</f>
        <v>0.2188944375</v>
      </c>
      <c r="F71" s="140">
        <f>('Enchant Stats'!$D$40*F68)+('Enchant Stats'!$D$41*F69 )</f>
        <v>0.24627675</v>
      </c>
      <c r="G71" s="140">
        <f>('Enchant Stats'!$D$40*G68)+('Enchant Stats'!$D$41*G69 )</f>
        <v>0.2736590625</v>
      </c>
      <c r="H71" s="140">
        <f>('Enchant Stats'!$D$40*H68)+('Enchant Stats'!$D$41*H69 )</f>
        <v>0.301041375</v>
      </c>
      <c r="I71" s="140">
        <f>('Enchant Stats'!$D$40*I68)+('Enchant Stats'!$D$41*I69 )</f>
        <v>0.3284236875</v>
      </c>
      <c r="J71" s="141">
        <f>('Enchant Stats'!$D$38*J66)+('Enchant Stats'!$D$39*J67)+('Enchant Stats'!$D$40*J68)+('Enchant Stats'!$D$41*J69 )</f>
        <v>0.4412545255</v>
      </c>
      <c r="K71" s="141">
        <f>('Enchant Stats'!$D$38*K66)+('Enchant Stats'!$D$39*K67)+('Enchant Stats'!$D$40*K68)+('Enchant Stats'!$D$41*K69 )</f>
        <v>0.4909558542</v>
      </c>
      <c r="L71" s="141">
        <f>('Enchant Stats'!$D$38*L66)+('Enchant Stats'!$D$39*L67)+('Enchant Stats'!$D$40*L68)+('Enchant Stats'!$D$41*L69 )</f>
        <v>0.5406571829</v>
      </c>
      <c r="M71" s="141">
        <f>('Enchant Stats'!$D$38*M66)+('Enchant Stats'!$D$39*M67)+('Enchant Stats'!$D$40*M68)+('Enchant Stats'!$D$41*M69 )</f>
        <v>0.5903585116</v>
      </c>
      <c r="N71" s="141">
        <f>('Enchant Stats'!$D$38*N66)+('Enchant Stats'!$D$39*N67)+('Enchant Stats'!$D$40*N68)+('Enchant Stats'!$D$41*N69 )</f>
        <v>0.6400598403</v>
      </c>
      <c r="O71" s="126">
        <f>('Enchant Stats'!$D$38*O66)+('Enchant Stats'!$D$39*O67)+('Enchant Stats'!$D$40*O68)+('Enchant Stats'!$D$41*O69 )</f>
        <v>0.1781046588</v>
      </c>
      <c r="P71" s="126">
        <f>('Enchant Stats'!$D$38*P66)+('Enchant Stats'!$D$39*P67)+('Enchant Stats'!$D$40*P68)+('Enchant Stats'!$D$41*P69 )</f>
        <v>0.2736332057</v>
      </c>
      <c r="Q71" s="126">
        <f>('Enchant Stats'!$D$38*Q66)+('Enchant Stats'!$D$39*Q67)+('Enchant Stats'!$D$40*Q68)+('Enchant Stats'!$D$41*Q69 )</f>
        <v>0.3691617527</v>
      </c>
      <c r="R71" s="126">
        <f>('Enchant Stats'!$D$38*R66)+('Enchant Stats'!$D$39*R67)+('Enchant Stats'!$D$40*R68)+('Enchant Stats'!$D$41*R69 )</f>
        <v>0.4646902997</v>
      </c>
      <c r="S71" s="126">
        <f>('Enchant Stats'!$D$38*S66)+('Enchant Stats'!$D$39*S67)+('Enchant Stats'!$D$40*S68)+('Enchant Stats'!$D$41*S69 )</f>
        <v>0.5602188467</v>
      </c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4" t="s">
        <v>46</v>
      </c>
      <c r="D73" s="94"/>
      <c r="E73" s="95" t="s">
        <v>13</v>
      </c>
      <c r="J73" s="96" t="s">
        <v>14</v>
      </c>
      <c r="O73" s="97" t="s">
        <v>15</v>
      </c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98" t="s">
        <v>42</v>
      </c>
      <c r="D74" s="99">
        <v>5.0</v>
      </c>
      <c r="E74" s="16">
        <v>6.0</v>
      </c>
      <c r="F74" s="16">
        <v>7.0</v>
      </c>
      <c r="G74" s="16">
        <v>8.0</v>
      </c>
      <c r="H74" s="16">
        <v>9.0</v>
      </c>
      <c r="I74" s="16">
        <v>10.0</v>
      </c>
      <c r="J74" s="17">
        <v>11.0</v>
      </c>
      <c r="K74" s="17">
        <v>12.0</v>
      </c>
      <c r="L74" s="17">
        <v>13.0</v>
      </c>
      <c r="M74" s="17">
        <v>14.0</v>
      </c>
      <c r="N74" s="17">
        <v>15.0</v>
      </c>
      <c r="O74" s="100">
        <v>16.0</v>
      </c>
      <c r="P74" s="100">
        <v>17.0</v>
      </c>
      <c r="Q74" s="100">
        <v>18.0</v>
      </c>
      <c r="R74" s="100">
        <v>19.0</v>
      </c>
      <c r="S74" s="100">
        <v>20.0</v>
      </c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98" t="s">
        <v>8</v>
      </c>
      <c r="D75" s="101">
        <f t="shared" ref="D75:D78" si="33">VLOOKUP($B75,INDIRECT(CONCATENATE("ChestData", SUBSTITUTE($B$73," ",""))),3,FALSE)</f>
        <v>0.8525</v>
      </c>
      <c r="E75" s="102">
        <f t="shared" ref="E75:I75" si="30">VLOOKUP($B75,INDIRECT(CONCATENATE("ChestData", SUBSTITUTE($B$73," ",""))),4,FALSE)+HLOOKUP($E$73,INDIRECT(CONCATENATE("ChestData", SUBSTITUTE($B$73," ",""))),7,FALSE)*(MOD(E$74-1, 5)+1)</f>
        <v>0.8627</v>
      </c>
      <c r="F75" s="102">
        <f t="shared" si="30"/>
        <v>0.8579</v>
      </c>
      <c r="G75" s="102">
        <f t="shared" si="30"/>
        <v>0.8531</v>
      </c>
      <c r="H75" s="102">
        <f t="shared" si="30"/>
        <v>0.8483</v>
      </c>
      <c r="I75" s="102">
        <f t="shared" si="30"/>
        <v>0.8435</v>
      </c>
      <c r="J75" s="103">
        <f t="shared" ref="J75:N75" si="31">VLOOKUP($B75,INDIRECT(CONCATENATE("ChestData", SUBSTITUTE($B$73," ",""))),5,FALSE)+HLOOKUP($J$73,INDIRECT(CONCATENATE("ChestData", SUBSTITUTE($B$73," ",""))),7,FALSE)*(MOD(J$74-1, 5)+1)</f>
        <v>0.8456</v>
      </c>
      <c r="K75" s="103">
        <f t="shared" si="31"/>
        <v>0.8402</v>
      </c>
      <c r="L75" s="103">
        <f t="shared" si="31"/>
        <v>0.8348</v>
      </c>
      <c r="M75" s="103">
        <f t="shared" si="31"/>
        <v>0.8294</v>
      </c>
      <c r="N75" s="103">
        <f t="shared" si="31"/>
        <v>0.824</v>
      </c>
      <c r="O75" s="104">
        <f t="shared" ref="O75:S75" si="32">VLOOKUP($B75,INDIRECT(CONCATENATE("ChestData", SUBSTITUTE($B$73," ",""))),6,FALSE)+HLOOKUP($O$73,INDIRECT(CONCATENATE("ChestData", SUBSTITUTE($B$73," ",""))),7,FALSE)*(MOD(O$74-1, 5)+1)</f>
        <v>0.95575</v>
      </c>
      <c r="P75" s="104">
        <f t="shared" si="32"/>
        <v>0.93225</v>
      </c>
      <c r="Q75" s="104">
        <f t="shared" si="32"/>
        <v>0.90875</v>
      </c>
      <c r="R75" s="104">
        <f t="shared" si="32"/>
        <v>0.88525</v>
      </c>
      <c r="S75" s="104">
        <f t="shared" si="32"/>
        <v>0.86175</v>
      </c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98" t="s">
        <v>9</v>
      </c>
      <c r="D76" s="105">
        <f t="shared" si="33"/>
        <v>0.125</v>
      </c>
      <c r="E76" s="106">
        <f t="shared" ref="E76:I76" si="34">VLOOKUP($B76,INDIRECT(CONCATENATE("ChestData", SUBSTITUTE($B$73," ",""))),4,FALSE)+HLOOKUP($E$73,INDIRECT(CONCATENATE("ChestData", SUBSTITUTE($B$73," ",""))),8,FALSE)*(MOD(E$74-1, 5)+1)</f>
        <v>0.112</v>
      </c>
      <c r="F76" s="106">
        <f t="shared" si="34"/>
        <v>0.114</v>
      </c>
      <c r="G76" s="106">
        <f t="shared" si="34"/>
        <v>0.116</v>
      </c>
      <c r="H76" s="106">
        <f t="shared" si="34"/>
        <v>0.118</v>
      </c>
      <c r="I76" s="106">
        <f t="shared" si="34"/>
        <v>0.12</v>
      </c>
      <c r="J76" s="108">
        <f t="shared" ref="J76:N76" si="35">VLOOKUP($B76,INDIRECT(CONCATENATE("ChestData", SUBSTITUTE($B$73," ",""))),5,FALSE)+HLOOKUP($J$73,INDIRECT(CONCATENATE("ChestData", SUBSTITUTE($B$73," ",""))),8,FALSE)*(MOD(J$74-1, 5)+1)</f>
        <v>0.11</v>
      </c>
      <c r="K76" s="108">
        <f t="shared" si="35"/>
        <v>0.11</v>
      </c>
      <c r="L76" s="108">
        <f t="shared" si="35"/>
        <v>0.11</v>
      </c>
      <c r="M76" s="108">
        <f t="shared" si="35"/>
        <v>0.11</v>
      </c>
      <c r="N76" s="108">
        <f t="shared" si="35"/>
        <v>0.11</v>
      </c>
      <c r="O76" s="34">
        <f t="shared" ref="O76:S76" si="36">VLOOKUP($B76,INDIRECT(CONCATENATE("ChestData", SUBSTITUTE($B$73," ",""))),6,FALSE)+HLOOKUP($O$73,INDIRECT(CONCATENATE("ChestData", SUBSTITUTE($B$73," ",""))),8,FALSE)*(MOD(O$74-1, 5)+1)</f>
        <v>0</v>
      </c>
      <c r="P76" s="34">
        <f t="shared" si="36"/>
        <v>0</v>
      </c>
      <c r="Q76" s="34">
        <f t="shared" si="36"/>
        <v>0</v>
      </c>
      <c r="R76" s="34">
        <f t="shared" si="36"/>
        <v>0</v>
      </c>
      <c r="S76" s="34">
        <f t="shared" si="36"/>
        <v>0</v>
      </c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09" t="s">
        <v>10</v>
      </c>
      <c r="D77" s="101">
        <f t="shared" si="33"/>
        <v>0.02</v>
      </c>
      <c r="E77" s="102">
        <f t="shared" ref="E77:I77" si="37">VLOOKUP($B77,INDIRECT(CONCATENATE("ChestData", SUBSTITUTE($B$73," ",""))),4,FALSE)+HLOOKUP($E$73,INDIRECT(CONCATENATE("ChestData", SUBSTITUTE($B$73," ",""))),9,FALSE)*(MOD(E$74-1, 5)+1)</f>
        <v>0.0225</v>
      </c>
      <c r="F77" s="102">
        <f t="shared" si="37"/>
        <v>0.025</v>
      </c>
      <c r="G77" s="102">
        <f t="shared" si="37"/>
        <v>0.0275</v>
      </c>
      <c r="H77" s="102">
        <f t="shared" si="37"/>
        <v>0.03</v>
      </c>
      <c r="I77" s="102">
        <f t="shared" si="37"/>
        <v>0.0325</v>
      </c>
      <c r="J77" s="103">
        <f t="shared" ref="J77:N77" si="38">VLOOKUP($B77,INDIRECT(CONCATENATE("ChestData", SUBSTITUTE($B$73," ",""))),5,FALSE)+HLOOKUP($J$73,INDIRECT(CONCATENATE("ChestData", SUBSTITUTE($B$73," ",""))),9,FALSE)*(MOD(J$74-1, 5)+1)</f>
        <v>0.04</v>
      </c>
      <c r="K77" s="103">
        <f t="shared" si="38"/>
        <v>0.045</v>
      </c>
      <c r="L77" s="103">
        <f t="shared" si="38"/>
        <v>0.05</v>
      </c>
      <c r="M77" s="103">
        <f t="shared" si="38"/>
        <v>0.055</v>
      </c>
      <c r="N77" s="103">
        <f t="shared" si="38"/>
        <v>0.06</v>
      </c>
      <c r="O77" s="104">
        <f t="shared" ref="O77:S77" si="39">VLOOKUP($B77,INDIRECT(CONCATENATE("ChestData", SUBSTITUTE($B$73," ",""))),6,FALSE)+HLOOKUP($O$73,INDIRECT(CONCATENATE("ChestData", SUBSTITUTE($B$73," ",""))),9,FALSE)*(MOD(O$74-1, 5)+1)</f>
        <v>0.04</v>
      </c>
      <c r="P77" s="104">
        <f t="shared" si="39"/>
        <v>0.06</v>
      </c>
      <c r="Q77" s="104">
        <f t="shared" si="39"/>
        <v>0.08</v>
      </c>
      <c r="R77" s="104">
        <f t="shared" si="39"/>
        <v>0.1</v>
      </c>
      <c r="S77" s="104">
        <f t="shared" si="39"/>
        <v>0.12</v>
      </c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98" t="s">
        <v>16</v>
      </c>
      <c r="D78" s="105">
        <f t="shared" si="33"/>
        <v>0.0025</v>
      </c>
      <c r="E78" s="106">
        <f t="shared" ref="E78:I78" si="40">VLOOKUP($B78,INDIRECT(CONCATENATE("ChestData", SUBSTITUTE($B$73," ",""))),4,FALSE)+HLOOKUP($E$73,INDIRECT(CONCATENATE("ChestData", SUBSTITUTE($B$73," ",""))),10,FALSE)*(MOD(E$74-1, 5)+1)</f>
        <v>0.0028</v>
      </c>
      <c r="F78" s="106">
        <f t="shared" si="40"/>
        <v>0.0031</v>
      </c>
      <c r="G78" s="106">
        <f t="shared" si="40"/>
        <v>0.0034</v>
      </c>
      <c r="H78" s="106">
        <f t="shared" si="40"/>
        <v>0.0037</v>
      </c>
      <c r="I78" s="106">
        <f t="shared" si="40"/>
        <v>0.004</v>
      </c>
      <c r="J78" s="108">
        <f t="shared" ref="J78:N78" si="41">VLOOKUP($B78,INDIRECT(CONCATENATE("ChestData", SUBSTITUTE($B$73," ",""))),5,FALSE)+HLOOKUP($J$73,INDIRECT(CONCATENATE("ChestData", SUBSTITUTE($B$73," ",""))),10,FALSE)*(MOD(J$74-1, 5)+1)</f>
        <v>0.0044</v>
      </c>
      <c r="K78" s="108">
        <f t="shared" si="41"/>
        <v>0.0048</v>
      </c>
      <c r="L78" s="108">
        <f t="shared" si="41"/>
        <v>0.0052</v>
      </c>
      <c r="M78" s="108">
        <f t="shared" si="41"/>
        <v>0.0056</v>
      </c>
      <c r="N78" s="108">
        <f t="shared" si="41"/>
        <v>0.006</v>
      </c>
      <c r="O78" s="34">
        <f t="shared" ref="O78:S78" si="42">VLOOKUP($B78,INDIRECT(CONCATENATE("ChestData", SUBSTITUTE($B$73," ",""))),6,FALSE)+HLOOKUP($O$73,INDIRECT(CONCATENATE("ChestData", SUBSTITUTE($B$73," ",""))),10,FALSE)*(MOD(O$74-1, 5)+1)</f>
        <v>0.002</v>
      </c>
      <c r="P78" s="34">
        <f t="shared" si="42"/>
        <v>0.0035</v>
      </c>
      <c r="Q78" s="34">
        <f t="shared" si="42"/>
        <v>0.005</v>
      </c>
      <c r="R78" s="34">
        <f t="shared" si="42"/>
        <v>0.0065</v>
      </c>
      <c r="S78" s="34">
        <f t="shared" si="42"/>
        <v>0.008</v>
      </c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20" t="s">
        <v>20</v>
      </c>
      <c r="D79" s="138">
        <v>0.0</v>
      </c>
      <c r="E79" s="102">
        <v>0.0</v>
      </c>
      <c r="F79" s="102">
        <v>0.0</v>
      </c>
      <c r="G79" s="102">
        <v>0.0</v>
      </c>
      <c r="H79" s="102">
        <v>0.0</v>
      </c>
      <c r="I79" s="102">
        <v>0.0</v>
      </c>
      <c r="J79" s="103">
        <v>0.0</v>
      </c>
      <c r="K79" s="103">
        <v>0.0</v>
      </c>
      <c r="L79" s="103">
        <v>0.0</v>
      </c>
      <c r="M79" s="103">
        <v>0.0</v>
      </c>
      <c r="N79" s="103">
        <v>0.0</v>
      </c>
      <c r="O79" s="104">
        <f t="shared" ref="O79:S79" si="43">VLOOKUP($B79,INDIRECT(CONCATENATE("ChestData", SUBSTITUTE($B$73," ",""))),6,FALSE)+HLOOKUP($O$73,INDIRECT(CONCATENATE("ChestData", SUBSTITUTE($B$73," ",""))),11,FALSE)*(MOD(O$74-1, 5)+1)</f>
        <v>0.00225</v>
      </c>
      <c r="P79" s="104">
        <f t="shared" si="43"/>
        <v>0.00425</v>
      </c>
      <c r="Q79" s="104">
        <f t="shared" si="43"/>
        <v>0.00625</v>
      </c>
      <c r="R79" s="104">
        <f t="shared" si="43"/>
        <v>0.00825</v>
      </c>
      <c r="S79" s="104">
        <f t="shared" si="43"/>
        <v>0.01025</v>
      </c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98" t="s">
        <v>44</v>
      </c>
      <c r="D80" s="139">
        <f>('Enchant Stats'!$D$38*D75)+('Enchant Stats'!$D$39*D76)+('Enchant Stats'!$D$40*D77)+('Enchant Stats'!$D$41*D78 )</f>
        <v>0.1645931008</v>
      </c>
      <c r="E80" s="142">
        <f>('Enchant Stats'!$D$38*E75)+('Enchant Stats'!$D$39*E76)+('Enchant Stats'!$D$40*E77)+('Enchant Stats'!$D$41*E78 )</f>
        <v>0.1767622682</v>
      </c>
      <c r="F80" s="142">
        <f>('Enchant Stats'!$D$38*F75)+('Enchant Stats'!$D$39*F76)+('Enchant Stats'!$D$40*F77)+('Enchant Stats'!$D$41*F78 )</f>
        <v>0.1922178548</v>
      </c>
      <c r="G80" s="142">
        <f>('Enchant Stats'!$D$38*G75)+('Enchant Stats'!$D$39*G76)+('Enchant Stats'!$D$40*G77)+('Enchant Stats'!$D$41*G78 )</f>
        <v>0.2076734414</v>
      </c>
      <c r="H80" s="142">
        <f>('Enchant Stats'!$D$38*H75)+('Enchant Stats'!$D$39*H76)+('Enchant Stats'!$D$40*H77)+('Enchant Stats'!$D$41*H78 )</f>
        <v>0.223129028</v>
      </c>
      <c r="I80" s="142">
        <f>('Enchant Stats'!$D$38*I75)+('Enchant Stats'!$D$39*I76)+('Enchant Stats'!$D$40*I77)+('Enchant Stats'!$D$41*I78 )</f>
        <v>0.2385846145</v>
      </c>
      <c r="J80" s="143">
        <f>('Enchant Stats'!$D$38*J75)+('Enchant Stats'!$D$39*J76)+('Enchant Stats'!$D$40*J77)+('Enchant Stats'!$D$41*J78 )</f>
        <v>0.2677892159</v>
      </c>
      <c r="K80" s="143">
        <f>('Enchant Stats'!$D$38*K75)+('Enchant Stats'!$D$39*K76)+('Enchant Stats'!$D$40*K77)+('Enchant Stats'!$D$41*K78 )</f>
        <v>0.2923613527</v>
      </c>
      <c r="L80" s="143">
        <f>('Enchant Stats'!$D$38*L75)+('Enchant Stats'!$D$39*L76)+('Enchant Stats'!$D$40*L77)+('Enchant Stats'!$D$41*L78 )</f>
        <v>0.3169334896</v>
      </c>
      <c r="M80" s="143">
        <f>('Enchant Stats'!$D$38*M75)+('Enchant Stats'!$D$39*M76)+('Enchant Stats'!$D$40*M77)+('Enchant Stats'!$D$41*M78 )</f>
        <v>0.3415056264</v>
      </c>
      <c r="N80" s="143">
        <f>('Enchant Stats'!$D$38*N75)+('Enchant Stats'!$D$39*N76)+('Enchant Stats'!$D$40*N77)+('Enchant Stats'!$D$41*N78 )</f>
        <v>0.3660777633</v>
      </c>
      <c r="O80" s="126">
        <f>('Enchant Stats'!$D$38*O75)+('Enchant Stats'!$D$39*O76)+('Enchant Stats'!$D$40*O77)+('Enchant Stats'!$D$41*O78 )</f>
        <v>0.1781046588</v>
      </c>
      <c r="P80" s="126">
        <f>('Enchant Stats'!$D$38*P75)+('Enchant Stats'!$D$39*P76)+('Enchant Stats'!$D$40*P77)+('Enchant Stats'!$D$41*P78 )</f>
        <v>0.2736332057</v>
      </c>
      <c r="Q80" s="126">
        <f>('Enchant Stats'!$D$38*Q75)+('Enchant Stats'!$D$39*Q76)+('Enchant Stats'!$D$40*Q77)+('Enchant Stats'!$D$41*Q78 )</f>
        <v>0.3691617527</v>
      </c>
      <c r="R80" s="126">
        <f>('Enchant Stats'!$D$38*R75)+('Enchant Stats'!$D$39*R76)+('Enchant Stats'!$D$40*R77)+('Enchant Stats'!$D$41*R78 )</f>
        <v>0.4646902997</v>
      </c>
      <c r="S80" s="126">
        <f>('Enchant Stats'!$D$38*S75)+('Enchant Stats'!$D$39*S76)+('Enchant Stats'!$D$40*S77)+('Enchant Stats'!$D$41*S78 )</f>
        <v>0.5602188467</v>
      </c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4" t="s">
        <v>47</v>
      </c>
      <c r="D82" s="94"/>
      <c r="E82" s="95" t="s">
        <v>13</v>
      </c>
      <c r="J82" s="96" t="s">
        <v>14</v>
      </c>
      <c r="O82" s="97" t="s">
        <v>15</v>
      </c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98" t="s">
        <v>42</v>
      </c>
      <c r="D83" s="99">
        <v>5.0</v>
      </c>
      <c r="E83" s="16">
        <v>6.0</v>
      </c>
      <c r="F83" s="16">
        <v>7.0</v>
      </c>
      <c r="G83" s="16">
        <v>8.0</v>
      </c>
      <c r="H83" s="16">
        <v>9.0</v>
      </c>
      <c r="I83" s="16">
        <v>10.0</v>
      </c>
      <c r="J83" s="17">
        <v>11.0</v>
      </c>
      <c r="K83" s="17">
        <v>12.0</v>
      </c>
      <c r="L83" s="17">
        <v>13.0</v>
      </c>
      <c r="M83" s="17">
        <v>14.0</v>
      </c>
      <c r="N83" s="17">
        <v>15.0</v>
      </c>
      <c r="O83" s="100">
        <v>16.0</v>
      </c>
      <c r="P83" s="100">
        <v>17.0</v>
      </c>
      <c r="Q83" s="100">
        <v>18.0</v>
      </c>
      <c r="R83" s="100">
        <v>19.0</v>
      </c>
      <c r="S83" s="100">
        <v>20.0</v>
      </c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98" t="s">
        <v>8</v>
      </c>
      <c r="D84" s="101">
        <f t="shared" ref="D84:D87" si="47">VLOOKUP($B84,INDIRECT(CONCATENATE("ChestData", SUBSTITUTE($B$82," ",""))),3,FALSE)</f>
        <v>0.75</v>
      </c>
      <c r="E84" s="102">
        <f t="shared" ref="E84:I84" si="44">VLOOKUP($B84,INDIRECT(CONCATENATE("ChestData", SUBSTITUTE($B$82," ",""))),4,FALSE)+HLOOKUP($E$82,INDIRECT(CONCATENATE("ChestData", SUBSTITUTE($B$82," ",""))),7,FALSE)*(MOD(E$83-1, 5)+1)</f>
        <v>0.7414</v>
      </c>
      <c r="F84" s="102">
        <f t="shared" si="44"/>
        <v>0.7328</v>
      </c>
      <c r="G84" s="102">
        <f t="shared" si="44"/>
        <v>0.7242</v>
      </c>
      <c r="H84" s="102">
        <f t="shared" si="44"/>
        <v>0.7156</v>
      </c>
      <c r="I84" s="102">
        <f t="shared" si="44"/>
        <v>0.707</v>
      </c>
      <c r="J84" s="103">
        <f t="shared" ref="J84:N84" si="45">VLOOKUP($B84,INDIRECT(CONCATENATE("ChestData", SUBSTITUTE($B$82," ",""))),5,FALSE)+HLOOKUP($J$82,INDIRECT(CONCATENATE("ChestData", SUBSTITUTE($B$82," ",""))),7,FALSE)*(MOD(J$83-1, 5)+1)</f>
        <v>0.7071</v>
      </c>
      <c r="K84" s="103">
        <f t="shared" si="45"/>
        <v>0.6972</v>
      </c>
      <c r="L84" s="103">
        <f t="shared" si="45"/>
        <v>0.6873</v>
      </c>
      <c r="M84" s="103">
        <f t="shared" si="45"/>
        <v>0.6774</v>
      </c>
      <c r="N84" s="103">
        <f t="shared" si="45"/>
        <v>0.6675</v>
      </c>
      <c r="O84" s="104">
        <f t="shared" ref="O84:S84" si="46">VLOOKUP($B84,INDIRECT(CONCATENATE("ChestData", SUBSTITUTE($B$82," ",""))),6,FALSE)+HLOOKUP($O$82,INDIRECT(CONCATENATE("ChestData", SUBSTITUTE($B$82," ",""))),7,FALSE)*(MOD(O$83-1, 5)+1)</f>
        <v>0.95575</v>
      </c>
      <c r="P84" s="104">
        <f t="shared" si="46"/>
        <v>0.93225</v>
      </c>
      <c r="Q84" s="104">
        <f t="shared" si="46"/>
        <v>0.90875</v>
      </c>
      <c r="R84" s="104">
        <f t="shared" si="46"/>
        <v>0.88525</v>
      </c>
      <c r="S84" s="104">
        <f t="shared" si="46"/>
        <v>0.86175</v>
      </c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98" t="s">
        <v>9</v>
      </c>
      <c r="D85" s="105">
        <f t="shared" si="47"/>
        <v>0.2</v>
      </c>
      <c r="E85" s="106">
        <f t="shared" ref="E85:I85" si="48">VLOOKUP($B85,INDIRECT(CONCATENATE("ChestData", SUBSTITUTE($B$82," ",""))),4,FALSE)+HLOOKUP($E$82,INDIRECT(CONCATENATE("ChestData", SUBSTITUTE($B$82," ",""))),8,FALSE)*(MOD(E$83-1, 5)+1)</f>
        <v>0.2025</v>
      </c>
      <c r="F85" s="106">
        <f t="shared" si="48"/>
        <v>0.205</v>
      </c>
      <c r="G85" s="106">
        <f t="shared" si="48"/>
        <v>0.2075</v>
      </c>
      <c r="H85" s="106">
        <f t="shared" si="48"/>
        <v>0.21</v>
      </c>
      <c r="I85" s="106">
        <f t="shared" si="48"/>
        <v>0.2125</v>
      </c>
      <c r="J85" s="108">
        <f t="shared" ref="J85:N85" si="49">VLOOKUP($B85,INDIRECT(CONCATENATE("ChestData", SUBSTITUTE($B$82," ",""))),5,FALSE)+HLOOKUP($J$82,INDIRECT(CONCATENATE("ChestData", SUBSTITUTE($B$82," ",""))),8,FALSE)*(MOD(J$83-1, 5)+1)</f>
        <v>0.2</v>
      </c>
      <c r="K85" s="108">
        <f t="shared" si="49"/>
        <v>0.2</v>
      </c>
      <c r="L85" s="108">
        <f t="shared" si="49"/>
        <v>0.2</v>
      </c>
      <c r="M85" s="108">
        <f t="shared" si="49"/>
        <v>0.2</v>
      </c>
      <c r="N85" s="108">
        <f t="shared" si="49"/>
        <v>0.2</v>
      </c>
      <c r="O85" s="34">
        <f t="shared" ref="O85:S85" si="50">VLOOKUP($B85,INDIRECT(CONCATENATE("ChestData", SUBSTITUTE($B$82," ",""))),6,FALSE)+HLOOKUP($O$82,INDIRECT(CONCATENATE("ChestData", SUBSTITUTE($B$82," ",""))),8,FALSE)*(MOD(O$83-1, 5)+1)</f>
        <v>0</v>
      </c>
      <c r="P85" s="34">
        <f t="shared" si="50"/>
        <v>0</v>
      </c>
      <c r="Q85" s="34">
        <f t="shared" si="50"/>
        <v>0</v>
      </c>
      <c r="R85" s="34">
        <f t="shared" si="50"/>
        <v>0</v>
      </c>
      <c r="S85" s="34">
        <f t="shared" si="50"/>
        <v>0</v>
      </c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09" t="s">
        <v>10</v>
      </c>
      <c r="D86" s="101">
        <f t="shared" si="47"/>
        <v>0.045</v>
      </c>
      <c r="E86" s="102">
        <f t="shared" ref="E86:I86" si="51">VLOOKUP($B86,INDIRECT(CONCATENATE("ChestData", SUBSTITUTE($B$82," ",""))),4,FALSE)+HLOOKUP($E$82,INDIRECT(CONCATENATE("ChestData", SUBSTITUTE($B$82," ",""))),9,FALSE)*(MOD(E$83-1, 5)+1)</f>
        <v>0.0505</v>
      </c>
      <c r="F86" s="102">
        <f t="shared" si="51"/>
        <v>0.056</v>
      </c>
      <c r="G86" s="102">
        <f t="shared" si="51"/>
        <v>0.0615</v>
      </c>
      <c r="H86" s="102">
        <f t="shared" si="51"/>
        <v>0.067</v>
      </c>
      <c r="I86" s="102">
        <f t="shared" si="51"/>
        <v>0.0725</v>
      </c>
      <c r="J86" s="103">
        <f t="shared" ref="J86:N86" si="52">VLOOKUP($B86,INDIRECT(CONCATENATE("ChestData", SUBSTITUTE($B$82," ",""))),5,FALSE)+HLOOKUP($J$82,INDIRECT(CONCATENATE("ChestData", SUBSTITUTE($B$82," ",""))),9,FALSE)*(MOD(J$83-1, 5)+1)</f>
        <v>0.084</v>
      </c>
      <c r="K86" s="103">
        <f t="shared" si="52"/>
        <v>0.093</v>
      </c>
      <c r="L86" s="103">
        <f t="shared" si="52"/>
        <v>0.102</v>
      </c>
      <c r="M86" s="103">
        <f t="shared" si="52"/>
        <v>0.111</v>
      </c>
      <c r="N86" s="103">
        <f t="shared" si="52"/>
        <v>0.12</v>
      </c>
      <c r="O86" s="104">
        <f t="shared" ref="O86:S86" si="53">VLOOKUP($B86,INDIRECT(CONCATENATE("ChestData", SUBSTITUTE($B$82," ",""))),6,FALSE)+HLOOKUP($O$82,INDIRECT(CONCATENATE("ChestData", SUBSTITUTE($B$82," ",""))),9,FALSE)*(MOD(O$83-1, 5)+1)</f>
        <v>0.04</v>
      </c>
      <c r="P86" s="104">
        <f t="shared" si="53"/>
        <v>0.06</v>
      </c>
      <c r="Q86" s="104">
        <f t="shared" si="53"/>
        <v>0.08</v>
      </c>
      <c r="R86" s="104">
        <f t="shared" si="53"/>
        <v>0.1</v>
      </c>
      <c r="S86" s="104">
        <f t="shared" si="53"/>
        <v>0.12</v>
      </c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98" t="s">
        <v>16</v>
      </c>
      <c r="D87" s="105">
        <f t="shared" si="47"/>
        <v>0.005</v>
      </c>
      <c r="E87" s="106">
        <f t="shared" ref="E87:I87" si="54">VLOOKUP($B87,INDIRECT(CONCATENATE("ChestData", SUBSTITUTE($B$82," ",""))),4,FALSE)+HLOOKUP($E$82,INDIRECT(CONCATENATE("ChestData", SUBSTITUTE($B$82," ",""))),10,FALSE)*(MOD(E$83-1, 5)+1)</f>
        <v>0.0056</v>
      </c>
      <c r="F87" s="106">
        <f t="shared" si="54"/>
        <v>0.0062</v>
      </c>
      <c r="G87" s="106">
        <f t="shared" si="54"/>
        <v>0.0068</v>
      </c>
      <c r="H87" s="106">
        <f t="shared" si="54"/>
        <v>0.0074</v>
      </c>
      <c r="I87" s="106">
        <f t="shared" si="54"/>
        <v>0.008</v>
      </c>
      <c r="J87" s="108">
        <f t="shared" ref="J87:N87" si="55">VLOOKUP($B87,INDIRECT(CONCATENATE("ChestData", SUBSTITUTE($B$82," ",""))),5,FALSE)+HLOOKUP($J$82,INDIRECT(CONCATENATE("ChestData", SUBSTITUTE($B$82," ",""))),10,FALSE)*(MOD(J$83-1, 5)+1)</f>
        <v>0.0089</v>
      </c>
      <c r="K87" s="108">
        <f t="shared" si="55"/>
        <v>0.0098</v>
      </c>
      <c r="L87" s="108">
        <f t="shared" si="55"/>
        <v>0.0107</v>
      </c>
      <c r="M87" s="108">
        <f t="shared" si="55"/>
        <v>0.0116</v>
      </c>
      <c r="N87" s="108">
        <f t="shared" si="55"/>
        <v>0.0125</v>
      </c>
      <c r="O87" s="34">
        <f t="shared" ref="O87:S87" si="56">VLOOKUP($B87,INDIRECT(CONCATENATE("ChestData", SUBSTITUTE($B$82," ",""))),6,FALSE)+HLOOKUP($O$82,INDIRECT(CONCATENATE("ChestData", SUBSTITUTE($B$82," ",""))),10,FALSE)*(MOD(O$83-1, 5)+1)</f>
        <v>0.002</v>
      </c>
      <c r="P87" s="34">
        <f t="shared" si="56"/>
        <v>0.0035</v>
      </c>
      <c r="Q87" s="34">
        <f t="shared" si="56"/>
        <v>0.005</v>
      </c>
      <c r="R87" s="34">
        <f t="shared" si="56"/>
        <v>0.0065</v>
      </c>
      <c r="S87" s="34">
        <f t="shared" si="56"/>
        <v>0.008</v>
      </c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20" t="s">
        <v>20</v>
      </c>
      <c r="D88" s="138">
        <v>0.0</v>
      </c>
      <c r="E88" s="102">
        <v>0.0</v>
      </c>
      <c r="F88" s="102">
        <v>0.0</v>
      </c>
      <c r="G88" s="102">
        <v>0.0</v>
      </c>
      <c r="H88" s="102">
        <v>0.0</v>
      </c>
      <c r="I88" s="102">
        <v>0.0</v>
      </c>
      <c r="J88" s="103">
        <v>0.0</v>
      </c>
      <c r="K88" s="103">
        <v>0.0</v>
      </c>
      <c r="L88" s="103">
        <v>0.0</v>
      </c>
      <c r="M88" s="103">
        <v>0.0</v>
      </c>
      <c r="N88" s="103">
        <v>0.0</v>
      </c>
      <c r="O88" s="104">
        <f t="shared" ref="O88:S88" si="57">VLOOKUP($B88,INDIRECT(CONCATENATE("ChestData", SUBSTITUTE($B$82," ",""))),6,FALSE)+HLOOKUP($O$82,INDIRECT(CONCATENATE("ChestData", SUBSTITUTE($B$82," ",""))),11,FALSE)*(MOD(O$83-1, 5)+1)</f>
        <v>0.00225</v>
      </c>
      <c r="P88" s="104">
        <f t="shared" si="57"/>
        <v>0.00425</v>
      </c>
      <c r="Q88" s="104">
        <f t="shared" si="57"/>
        <v>0.00625</v>
      </c>
      <c r="R88" s="104">
        <f t="shared" si="57"/>
        <v>0.00825</v>
      </c>
      <c r="S88" s="104">
        <f t="shared" si="57"/>
        <v>0.01025</v>
      </c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98" t="s">
        <v>44</v>
      </c>
      <c r="D89" s="139">
        <f>('Enchant Stats'!$D$38*D84)+('Enchant Stats'!$D$39*D85)+('Enchant Stats'!$D$40*D86)+('Enchant Stats'!$D$41*D87 )</f>
        <v>0.3175425258</v>
      </c>
      <c r="E89" s="142">
        <f>('Enchant Stats'!$D$38*E84)+('Enchant Stats'!$D$39*E85)+('Enchant Stats'!$D$40*E86)+('Enchant Stats'!$D$41*E87 )</f>
        <v>0.3494897391</v>
      </c>
      <c r="F89" s="142">
        <f>('Enchant Stats'!$D$38*F84)+('Enchant Stats'!$D$39*F85)+('Enchant Stats'!$D$40*F86)+('Enchant Stats'!$D$41*F87 )</f>
        <v>0.3814369525</v>
      </c>
      <c r="G89" s="142">
        <f>('Enchant Stats'!$D$38*G84)+('Enchant Stats'!$D$39*G85)+('Enchant Stats'!$D$40*G86)+('Enchant Stats'!$D$41*G87 )</f>
        <v>0.4133841658</v>
      </c>
      <c r="H89" s="142">
        <f>('Enchant Stats'!$D$38*H84)+('Enchant Stats'!$D$39*H85)+('Enchant Stats'!$D$40*H86)+('Enchant Stats'!$D$41*H87 )</f>
        <v>0.4453313792</v>
      </c>
      <c r="I89" s="142">
        <f>('Enchant Stats'!$D$38*I84)+('Enchant Stats'!$D$39*I85)+('Enchant Stats'!$D$40*I86)+('Enchant Stats'!$D$41*I87 )</f>
        <v>0.4772785926</v>
      </c>
      <c r="J89" s="143">
        <f>('Enchant Stats'!$D$38*J84)+('Enchant Stats'!$D$39*J85)+('Enchant Stats'!$D$40*J86)+('Enchant Stats'!$D$41*J87 )</f>
        <v>0.5305095589</v>
      </c>
      <c r="K89" s="143">
        <f>('Enchant Stats'!$D$38*K84)+('Enchant Stats'!$D$39*K85)+('Enchant Stats'!$D$40*K86)+('Enchant Stats'!$D$41*K87 )</f>
        <v>0.5796557973</v>
      </c>
      <c r="L89" s="143">
        <f>('Enchant Stats'!$D$38*L84)+('Enchant Stats'!$D$39*L85)+('Enchant Stats'!$D$40*L86)+('Enchant Stats'!$D$41*L87 )</f>
        <v>0.6288020357</v>
      </c>
      <c r="M89" s="143">
        <f>('Enchant Stats'!$D$38*M84)+('Enchant Stats'!$D$39*M85)+('Enchant Stats'!$D$40*M86)+('Enchant Stats'!$D$41*M87 )</f>
        <v>0.6779482741</v>
      </c>
      <c r="N89" s="143">
        <f>('Enchant Stats'!$D$38*N84)+('Enchant Stats'!$D$39*N85)+('Enchant Stats'!$D$40*N86)+('Enchant Stats'!$D$41*N87 )</f>
        <v>0.7270945125</v>
      </c>
      <c r="O89" s="126">
        <f>('Enchant Stats'!$D$38*O84)+('Enchant Stats'!$D$39*O85)+('Enchant Stats'!$D$40*O86)+('Enchant Stats'!$D$41*O87 )</f>
        <v>0.1781046588</v>
      </c>
      <c r="P89" s="126">
        <f>('Enchant Stats'!$D$38*P84)+('Enchant Stats'!$D$39*P85)+('Enchant Stats'!$D$40*P86)+('Enchant Stats'!$D$41*P87 )</f>
        <v>0.2736332057</v>
      </c>
      <c r="Q89" s="126">
        <f>('Enchant Stats'!$D$38*Q84)+('Enchant Stats'!$D$39*Q85)+('Enchant Stats'!$D$40*Q86)+('Enchant Stats'!$D$41*Q87 )</f>
        <v>0.3691617527</v>
      </c>
      <c r="R89" s="126">
        <f>('Enchant Stats'!$D$38*R84)+('Enchant Stats'!$D$39*R85)+('Enchant Stats'!$D$40*R86)+('Enchant Stats'!$D$41*R87 )</f>
        <v>0.4646902997</v>
      </c>
      <c r="S89" s="126">
        <f>('Enchant Stats'!$D$38*S84)+('Enchant Stats'!$D$39*S85)+('Enchant Stats'!$D$40*S86)+('Enchant Stats'!$D$41*S87 )</f>
        <v>0.5602188467</v>
      </c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4" t="s">
        <v>48</v>
      </c>
      <c r="D91" s="94"/>
      <c r="E91" s="95" t="s">
        <v>13</v>
      </c>
      <c r="J91" s="96" t="s">
        <v>14</v>
      </c>
      <c r="O91" s="97" t="s">
        <v>15</v>
      </c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98" t="s">
        <v>42</v>
      </c>
      <c r="D92" s="99">
        <v>5.0</v>
      </c>
      <c r="E92" s="16">
        <v>6.0</v>
      </c>
      <c r="F92" s="16">
        <v>7.0</v>
      </c>
      <c r="G92" s="16">
        <v>8.0</v>
      </c>
      <c r="H92" s="16">
        <v>9.0</v>
      </c>
      <c r="I92" s="16">
        <v>10.0</v>
      </c>
      <c r="J92" s="17">
        <v>11.0</v>
      </c>
      <c r="K92" s="17">
        <v>12.0</v>
      </c>
      <c r="L92" s="17">
        <v>13.0</v>
      </c>
      <c r="M92" s="17">
        <v>14.0</v>
      </c>
      <c r="N92" s="17">
        <v>15.0</v>
      </c>
      <c r="O92" s="100">
        <v>16.0</v>
      </c>
      <c r="P92" s="100">
        <v>17.0</v>
      </c>
      <c r="Q92" s="100">
        <v>18.0</v>
      </c>
      <c r="R92" s="100">
        <v>19.0</v>
      </c>
      <c r="S92" s="100">
        <v>20.0</v>
      </c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98" t="s">
        <v>8</v>
      </c>
      <c r="D93" s="101">
        <f t="shared" ref="D93:D96" si="61">VLOOKUP($B93,INDIRECT(CONCATENATE("ChestData", SUBSTITUTE($B$91," ",""))),3,FALSE)</f>
        <v>0.8</v>
      </c>
      <c r="E93" s="102">
        <f t="shared" ref="E93:I93" si="58">VLOOKUP($B93,INDIRECT(CONCATENATE("ChestData", SUBSTITUTE($B$91," ",""))),4,FALSE)+HLOOKUP($E$91,INDIRECT(CONCATENATE("ChestData", SUBSTITUTE($B$91," ",""))),7,FALSE)*(MOD(E$92-1, 5)+1)</f>
        <v>0.855</v>
      </c>
      <c r="F93" s="102">
        <f t="shared" si="58"/>
        <v>0.845</v>
      </c>
      <c r="G93" s="102">
        <f t="shared" si="58"/>
        <v>0.835</v>
      </c>
      <c r="H93" s="102">
        <f t="shared" si="58"/>
        <v>0.825</v>
      </c>
      <c r="I93" s="102">
        <f t="shared" si="58"/>
        <v>0.815</v>
      </c>
      <c r="J93" s="103">
        <f t="shared" ref="J93:N93" si="59">VLOOKUP($B93,INDIRECT(CONCATENATE("ChestData", SUBSTITUTE($B$91," ",""))),5,FALSE)+HLOOKUP($J$91,INDIRECT(CONCATENATE("ChestData", SUBSTITUTE($B$91," ",""))),7,FALSE)*(MOD(J$92-1, 5)+1)</f>
        <v>0.665</v>
      </c>
      <c r="K93" s="103">
        <f t="shared" si="59"/>
        <v>0.65</v>
      </c>
      <c r="L93" s="103">
        <f t="shared" si="59"/>
        <v>0.635</v>
      </c>
      <c r="M93" s="103">
        <f t="shared" si="59"/>
        <v>0.62</v>
      </c>
      <c r="N93" s="103">
        <f t="shared" si="59"/>
        <v>0.605</v>
      </c>
      <c r="O93" s="104">
        <f t="shared" ref="O93:S93" si="60">VLOOKUP($B93,INDIRECT(CONCATENATE("ChestData", SUBSTITUTE($B$91," ",""))),6,FALSE)+HLOOKUP($O$91,INDIRECT(CONCATENATE("ChestData", SUBSTITUTE($B$91," ",""))),7,FALSE)*(MOD(O$92-1, 5)+1)</f>
        <v>0.95525</v>
      </c>
      <c r="P93" s="104">
        <f t="shared" si="60"/>
        <v>0.93125</v>
      </c>
      <c r="Q93" s="104">
        <f t="shared" si="60"/>
        <v>0.90725</v>
      </c>
      <c r="R93" s="104">
        <f t="shared" si="60"/>
        <v>0.88325</v>
      </c>
      <c r="S93" s="104">
        <f t="shared" si="60"/>
        <v>0.85925</v>
      </c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98" t="s">
        <v>9</v>
      </c>
      <c r="D94" s="105">
        <f t="shared" si="61"/>
        <v>0.17</v>
      </c>
      <c r="E94" s="106">
        <f t="shared" ref="E94:I94" si="62">VLOOKUP($B94,INDIRECT(CONCATENATE("ChestData", SUBSTITUTE($B$91," ",""))),4,FALSE)+HLOOKUP($E$91,INDIRECT(CONCATENATE("ChestData", SUBSTITUTE($B$91," ",""))),8,FALSE)*(MOD(E$92-1, 5)+1)</f>
        <v>0.1</v>
      </c>
      <c r="F94" s="106">
        <f t="shared" si="62"/>
        <v>0.1</v>
      </c>
      <c r="G94" s="106">
        <f t="shared" si="62"/>
        <v>0.1</v>
      </c>
      <c r="H94" s="106">
        <f t="shared" si="62"/>
        <v>0.1</v>
      </c>
      <c r="I94" s="106">
        <f t="shared" si="62"/>
        <v>0.1</v>
      </c>
      <c r="J94" s="108">
        <f t="shared" ref="J94:N94" si="63">VLOOKUP($B94,INDIRECT(CONCATENATE("ChestData", SUBSTITUTE($B$91," ",""))),5,FALSE)+HLOOKUP($J$91,INDIRECT(CONCATENATE("ChestData", SUBSTITUTE($B$91," ",""))),8,FALSE)*(MOD(J$92-1, 5)+1)</f>
        <v>0.253</v>
      </c>
      <c r="K94" s="108">
        <f t="shared" si="63"/>
        <v>0.256</v>
      </c>
      <c r="L94" s="108">
        <f t="shared" si="63"/>
        <v>0.259</v>
      </c>
      <c r="M94" s="108">
        <f t="shared" si="63"/>
        <v>0.262</v>
      </c>
      <c r="N94" s="108">
        <f t="shared" si="63"/>
        <v>0.265</v>
      </c>
      <c r="O94" s="34">
        <f t="shared" ref="O94:S94" si="64">VLOOKUP($B94,INDIRECT(CONCATENATE("ChestData", SUBSTITUTE($B$91," ",""))),6,FALSE)+HLOOKUP($O$91,INDIRECT(CONCATENATE("ChestData", SUBSTITUTE($B$91," ",""))),8,FALSE)*(MOD(O$92-1, 5)+1)</f>
        <v>0</v>
      </c>
      <c r="P94" s="34">
        <f t="shared" si="64"/>
        <v>0</v>
      </c>
      <c r="Q94" s="34">
        <f t="shared" si="64"/>
        <v>0</v>
      </c>
      <c r="R94" s="34">
        <f t="shared" si="64"/>
        <v>0</v>
      </c>
      <c r="S94" s="34">
        <f t="shared" si="64"/>
        <v>0</v>
      </c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09" t="s">
        <v>10</v>
      </c>
      <c r="D95" s="101">
        <f t="shared" si="61"/>
        <v>0.025</v>
      </c>
      <c r="E95" s="102">
        <f t="shared" ref="E95:I95" si="65">VLOOKUP($B95,INDIRECT(CONCATENATE("ChestData", SUBSTITUTE($B$91," ",""))),4,FALSE)+HLOOKUP($E$91,INDIRECT(CONCATENATE("ChestData", SUBSTITUTE($B$91," ",""))),9,FALSE)*(MOD(E$92-1, 5)+1)</f>
        <v>0.039</v>
      </c>
      <c r="F95" s="102">
        <f t="shared" si="65"/>
        <v>0.048</v>
      </c>
      <c r="G95" s="102">
        <f t="shared" si="65"/>
        <v>0.057</v>
      </c>
      <c r="H95" s="102">
        <f t="shared" si="65"/>
        <v>0.066</v>
      </c>
      <c r="I95" s="102">
        <f t="shared" si="65"/>
        <v>0.075</v>
      </c>
      <c r="J95" s="103">
        <f t="shared" ref="J95:N95" si="66">VLOOKUP($B95,INDIRECT(CONCATENATE("ChestData", SUBSTITUTE($B$91," ",""))),5,FALSE)+HLOOKUP($J$91,INDIRECT(CONCATENATE("ChestData", SUBSTITUTE($B$91," ",""))),9,FALSE)*(MOD(J$92-1, 5)+1)</f>
        <v>0.07</v>
      </c>
      <c r="K95" s="103">
        <f t="shared" si="66"/>
        <v>0.08</v>
      </c>
      <c r="L95" s="103">
        <f t="shared" si="66"/>
        <v>0.09</v>
      </c>
      <c r="M95" s="103">
        <f t="shared" si="66"/>
        <v>0.1</v>
      </c>
      <c r="N95" s="103">
        <f t="shared" si="66"/>
        <v>0.11</v>
      </c>
      <c r="O95" s="104">
        <f t="shared" ref="O95:S95" si="67">VLOOKUP($B95,INDIRECT(CONCATENATE("ChestData", SUBSTITUTE($B$91," ",""))),6,FALSE)+HLOOKUP($O$91,INDIRECT(CONCATENATE("ChestData", SUBSTITUTE($B$91," ",""))),9,FALSE)*(MOD(O$92-1, 5)+1)</f>
        <v>0.04</v>
      </c>
      <c r="P95" s="104">
        <f t="shared" si="67"/>
        <v>0.06</v>
      </c>
      <c r="Q95" s="104">
        <f t="shared" si="67"/>
        <v>0.08</v>
      </c>
      <c r="R95" s="104">
        <f t="shared" si="67"/>
        <v>0.1</v>
      </c>
      <c r="S95" s="104">
        <f t="shared" si="67"/>
        <v>0.12</v>
      </c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98" t="s">
        <v>16</v>
      </c>
      <c r="D96" s="105">
        <f t="shared" si="61"/>
        <v>0.005</v>
      </c>
      <c r="E96" s="106">
        <f t="shared" ref="E96:I96" si="68">VLOOKUP($B96,INDIRECT(CONCATENATE("ChestData", SUBSTITUTE($B$91," ",""))),4,FALSE)+HLOOKUP($E$91,INDIRECT(CONCATENATE("ChestData", SUBSTITUTE($B$91," ",""))),10,FALSE)*(MOD(E$92-1, 5)+1)</f>
        <v>0.006</v>
      </c>
      <c r="F96" s="106">
        <f t="shared" si="68"/>
        <v>0.007</v>
      </c>
      <c r="G96" s="106">
        <f t="shared" si="68"/>
        <v>0.008</v>
      </c>
      <c r="H96" s="106">
        <f t="shared" si="68"/>
        <v>0.009</v>
      </c>
      <c r="I96" s="106">
        <f t="shared" si="68"/>
        <v>0.01</v>
      </c>
      <c r="J96" s="108">
        <f t="shared" ref="J96:N96" si="69">VLOOKUP($B96,INDIRECT(CONCATENATE("ChestData", SUBSTITUTE($B$91," ",""))),5,FALSE)+HLOOKUP($J$91,INDIRECT(CONCATENATE("ChestData", SUBSTITUTE($B$91," ",""))),10,FALSE)*(MOD(J$92-1, 5)+1)</f>
        <v>0.012</v>
      </c>
      <c r="K96" s="108">
        <f t="shared" si="69"/>
        <v>0.014</v>
      </c>
      <c r="L96" s="108">
        <f t="shared" si="69"/>
        <v>0.016</v>
      </c>
      <c r="M96" s="108">
        <f t="shared" si="69"/>
        <v>0.018</v>
      </c>
      <c r="N96" s="108">
        <f t="shared" si="69"/>
        <v>0.02</v>
      </c>
      <c r="O96" s="34">
        <f t="shared" ref="O96:S96" si="70">VLOOKUP($B96,INDIRECT(CONCATENATE("ChestData", SUBSTITUTE($B$91," ",""))),6,FALSE)+HLOOKUP($O$91,INDIRECT(CONCATENATE("ChestData", SUBSTITUTE($B$91," ",""))),10,FALSE)*(MOD(O$92-1, 5)+1)</f>
        <v>0.002</v>
      </c>
      <c r="P96" s="34">
        <f t="shared" si="70"/>
        <v>0.0035</v>
      </c>
      <c r="Q96" s="34">
        <f t="shared" si="70"/>
        <v>0.005</v>
      </c>
      <c r="R96" s="34">
        <f t="shared" si="70"/>
        <v>0.0065</v>
      </c>
      <c r="S96" s="34">
        <f t="shared" si="70"/>
        <v>0.008</v>
      </c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20" t="s">
        <v>20</v>
      </c>
      <c r="D97" s="138">
        <v>0.0</v>
      </c>
      <c r="E97" s="102">
        <v>0.0</v>
      </c>
      <c r="F97" s="102">
        <v>0.0</v>
      </c>
      <c r="G97" s="102">
        <v>0.0</v>
      </c>
      <c r="H97" s="102">
        <v>0.0</v>
      </c>
      <c r="I97" s="102">
        <v>0.0</v>
      </c>
      <c r="J97" s="103">
        <v>0.0</v>
      </c>
      <c r="K97" s="103">
        <v>0.0</v>
      </c>
      <c r="L97" s="103">
        <v>0.0</v>
      </c>
      <c r="M97" s="103">
        <v>0.0</v>
      </c>
      <c r="N97" s="103">
        <v>0.0</v>
      </c>
      <c r="O97" s="104">
        <f t="shared" ref="O97:S97" si="71">VLOOKUP($B97,INDIRECT(CONCATENATE("ChestData", SUBSTITUTE($B$91," ",""))),6,FALSE)+HLOOKUP($O$91,INDIRECT(CONCATENATE("ChestData", SUBSTITUTE($B$91," ",""))),11,FALSE)*(MOD(O$92-1, 5)+1)</f>
        <v>0.00275</v>
      </c>
      <c r="P97" s="104">
        <f t="shared" si="71"/>
        <v>0.00525</v>
      </c>
      <c r="Q97" s="104">
        <f t="shared" si="71"/>
        <v>0.00775</v>
      </c>
      <c r="R97" s="104">
        <f t="shared" si="71"/>
        <v>0.01025</v>
      </c>
      <c r="S97" s="104">
        <f t="shared" si="71"/>
        <v>0.01275</v>
      </c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98" t="s">
        <v>44</v>
      </c>
      <c r="D98" s="139">
        <f>('Enchant Stats'!$D$38*D93)+('Enchant Stats'!$D$39*D94)+('Enchant Stats'!$D$40*D95)+('Enchant Stats'!$D$41*D96 )</f>
        <v>0.2563824027</v>
      </c>
      <c r="E98" s="142">
        <f>('Enchant Stats'!$D$38*E93)+('Enchant Stats'!$D$39*E94)+('Enchant Stats'!$D$40*E95)+('Enchant Stats'!$D$41*E96 )</f>
        <v>0.3065701683</v>
      </c>
      <c r="F98" s="142">
        <f>('Enchant Stats'!$D$38*F93)+('Enchant Stats'!$D$39*F94)+('Enchant Stats'!$D$40*F95)+('Enchant Stats'!$D$41*F96 )</f>
        <v>0.3584477356</v>
      </c>
      <c r="G98" s="142">
        <f>('Enchant Stats'!$D$38*G93)+('Enchant Stats'!$D$39*G94)+('Enchant Stats'!$D$40*G95)+('Enchant Stats'!$D$41*G96 )</f>
        <v>0.4103253029</v>
      </c>
      <c r="H98" s="142">
        <f>('Enchant Stats'!$D$38*H93)+('Enchant Stats'!$D$39*H94)+('Enchant Stats'!$D$40*H95)+('Enchant Stats'!$D$41*H96 )</f>
        <v>0.4622028703</v>
      </c>
      <c r="I98" s="142">
        <f>('Enchant Stats'!$D$38*I93)+('Enchant Stats'!$D$39*I94)+('Enchant Stats'!$D$40*I95)+('Enchant Stats'!$D$41*I96 )</f>
        <v>0.5140804376</v>
      </c>
      <c r="J98" s="143">
        <f>('Enchant Stats'!$D$38*J93)+('Enchant Stats'!$D$39*J94)+('Enchant Stats'!$D$40*J95)+('Enchant Stats'!$D$41*J96 )</f>
        <v>0.5885816707</v>
      </c>
      <c r="K98" s="143">
        <f>('Enchant Stats'!$D$38*K93)+('Enchant Stats'!$D$39*K94)+('Enchant Stats'!$D$40*K95)+('Enchant Stats'!$D$41*K96 )</f>
        <v>0.6711591754</v>
      </c>
      <c r="L98" s="143">
        <f>('Enchant Stats'!$D$38*L93)+('Enchant Stats'!$D$39*L94)+('Enchant Stats'!$D$40*L95)+('Enchant Stats'!$D$41*L96 )</f>
        <v>0.75373668</v>
      </c>
      <c r="M98" s="143">
        <f>('Enchant Stats'!$D$38*M93)+('Enchant Stats'!$D$39*M94)+('Enchant Stats'!$D$40*M95)+('Enchant Stats'!$D$41*M96 )</f>
        <v>0.8363141847</v>
      </c>
      <c r="N98" s="143">
        <f>('Enchant Stats'!$D$38*N93)+('Enchant Stats'!$D$39*N94)+('Enchant Stats'!$D$40*N95)+('Enchant Stats'!$D$41*N96 )</f>
        <v>0.9188916893</v>
      </c>
      <c r="O98" s="126">
        <f>('Enchant Stats'!$D$38*O93)+('Enchant Stats'!$D$39*O94)+('Enchant Stats'!$D$40*O95)+('Enchant Stats'!$D$41*O96 )</f>
        <v>0.1780974909</v>
      </c>
      <c r="P98" s="126">
        <f>('Enchant Stats'!$D$38*P93)+('Enchant Stats'!$D$39*P94)+('Enchant Stats'!$D$40*P95)+('Enchant Stats'!$D$41*P96 )</f>
        <v>0.27361887</v>
      </c>
      <c r="Q98" s="126">
        <f>('Enchant Stats'!$D$38*Q93)+('Enchant Stats'!$D$39*Q94)+('Enchant Stats'!$D$40*Q95)+('Enchant Stats'!$D$41*Q96 )</f>
        <v>0.3691402491</v>
      </c>
      <c r="R98" s="126">
        <f>('Enchant Stats'!$D$38*R93)+('Enchant Stats'!$D$39*R94)+('Enchant Stats'!$D$40*R95)+('Enchant Stats'!$D$41*R96 )</f>
        <v>0.4646616282</v>
      </c>
      <c r="S98" s="126">
        <f>('Enchant Stats'!$D$38*S93)+('Enchant Stats'!$D$39*S94)+('Enchant Stats'!$D$40*S95)+('Enchant Stats'!$D$41*S96 )</f>
        <v>0.5601830073</v>
      </c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4" t="s">
        <v>49</v>
      </c>
      <c r="D100" s="94"/>
      <c r="E100" s="95" t="s">
        <v>13</v>
      </c>
      <c r="J100" s="96" t="s">
        <v>14</v>
      </c>
      <c r="O100" s="97" t="s">
        <v>15</v>
      </c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98" t="s">
        <v>42</v>
      </c>
      <c r="D101" s="99">
        <v>5.0</v>
      </c>
      <c r="E101" s="16">
        <v>6.0</v>
      </c>
      <c r="F101" s="16">
        <v>7.0</v>
      </c>
      <c r="G101" s="16">
        <v>8.0</v>
      </c>
      <c r="H101" s="16">
        <v>9.0</v>
      </c>
      <c r="I101" s="16">
        <v>10.0</v>
      </c>
      <c r="J101" s="17">
        <v>11.0</v>
      </c>
      <c r="K101" s="17">
        <v>12.0</v>
      </c>
      <c r="L101" s="17">
        <v>13.0</v>
      </c>
      <c r="M101" s="17">
        <v>14.0</v>
      </c>
      <c r="N101" s="17">
        <v>15.0</v>
      </c>
      <c r="O101" s="100">
        <v>16.0</v>
      </c>
      <c r="P101" s="100">
        <v>17.0</v>
      </c>
      <c r="Q101" s="100">
        <v>18.0</v>
      </c>
      <c r="R101" s="100">
        <v>19.0</v>
      </c>
      <c r="S101" s="100">
        <v>20.0</v>
      </c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98" t="s">
        <v>8</v>
      </c>
      <c r="D102" s="101">
        <f t="shared" ref="D102:D105" si="75">VLOOKUP($B102,INDIRECT(CONCATENATE("ChestData", SUBSTITUTE($B$100," ",""))),3,FALSE)</f>
        <v>0.79</v>
      </c>
      <c r="E102" s="102">
        <f t="shared" ref="E102:I102" si="72">VLOOKUP($B102,INDIRECT(CONCATENATE("ChestData", SUBSTITUTE($B$100," ",""))),4,FALSE)+HLOOKUP($E$100,INDIRECT(CONCATENATE("ChestData", SUBSTITUTE($B$100," ",""))),7,FALSE)*(MOD(E$101-1, 5)+1)</f>
        <v>0.855</v>
      </c>
      <c r="F102" s="102">
        <f t="shared" si="72"/>
        <v>0.845</v>
      </c>
      <c r="G102" s="102">
        <f t="shared" si="72"/>
        <v>0.835</v>
      </c>
      <c r="H102" s="102">
        <f t="shared" si="72"/>
        <v>0.825</v>
      </c>
      <c r="I102" s="102">
        <f t="shared" si="72"/>
        <v>0.815</v>
      </c>
      <c r="J102" s="103">
        <f t="shared" ref="J102:N102" si="73">VLOOKUP($B102,INDIRECT(CONCATENATE("ChestData", SUBSTITUTE($B$100," ",""))),5,FALSE)+HLOOKUP($J$100,INDIRECT(CONCATENATE("ChestData", SUBSTITUTE($B$100," ",""))),7,FALSE)*(MOD(J$101-1, 5)+1)</f>
        <v>0.818</v>
      </c>
      <c r="K102" s="103">
        <f t="shared" si="73"/>
        <v>0.786</v>
      </c>
      <c r="L102" s="103">
        <f t="shared" si="73"/>
        <v>0.754</v>
      </c>
      <c r="M102" s="103">
        <f t="shared" si="73"/>
        <v>0.722</v>
      </c>
      <c r="N102" s="103">
        <f t="shared" si="73"/>
        <v>0.69</v>
      </c>
      <c r="O102" s="104">
        <f t="shared" ref="O102:S102" si="74">VLOOKUP($B102,INDIRECT(CONCATENATE("ChestData", SUBSTITUTE($B$100," ",""))),6,FALSE)+HLOOKUP($O$100,INDIRECT(CONCATENATE("ChestData", SUBSTITUTE($B$100," ",""))),7,FALSE)*(MOD(O$101-1, 5)+1)</f>
        <v>0.955</v>
      </c>
      <c r="P102" s="104">
        <f t="shared" si="74"/>
        <v>0.93075</v>
      </c>
      <c r="Q102" s="104">
        <f t="shared" si="74"/>
        <v>0.9065</v>
      </c>
      <c r="R102" s="104">
        <f t="shared" si="74"/>
        <v>0.88225</v>
      </c>
      <c r="S102" s="104">
        <f t="shared" si="74"/>
        <v>0.858</v>
      </c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98" t="s">
        <v>9</v>
      </c>
      <c r="D103" s="105">
        <f t="shared" si="75"/>
        <v>0.17</v>
      </c>
      <c r="E103" s="106">
        <f t="shared" ref="E103:I103" si="76">VLOOKUP($B103,INDIRECT(CONCATENATE("ChestData", SUBSTITUTE($B$100," ",""))),4,FALSE)+HLOOKUP($E$100,INDIRECT(CONCATENATE("ChestData", SUBSTITUTE($B$100," ",""))),8,FALSE)*(MOD(E$101-1, 5)+1)</f>
        <v>0.1</v>
      </c>
      <c r="F103" s="106">
        <f t="shared" si="76"/>
        <v>0.1</v>
      </c>
      <c r="G103" s="106">
        <f t="shared" si="76"/>
        <v>0.1</v>
      </c>
      <c r="H103" s="106">
        <f t="shared" si="76"/>
        <v>0.1</v>
      </c>
      <c r="I103" s="106">
        <f t="shared" si="76"/>
        <v>0.1</v>
      </c>
      <c r="J103" s="108">
        <f t="shared" ref="J103:N103" si="77">VLOOKUP($B103,INDIRECT(CONCATENATE("ChestData", SUBSTITUTE($B$100," ",""))),5,FALSE)+HLOOKUP($J$100,INDIRECT(CONCATENATE("ChestData", SUBSTITUTE($B$100," ",""))),8,FALSE)*(MOD(J$101-1, 5)+1)</f>
        <v>0.1</v>
      </c>
      <c r="K103" s="108">
        <f t="shared" si="77"/>
        <v>0.1</v>
      </c>
      <c r="L103" s="108">
        <f t="shared" si="77"/>
        <v>0.1</v>
      </c>
      <c r="M103" s="108">
        <f t="shared" si="77"/>
        <v>0.1</v>
      </c>
      <c r="N103" s="108">
        <f t="shared" si="77"/>
        <v>0.1</v>
      </c>
      <c r="O103" s="34">
        <f t="shared" ref="O103:S103" si="78">VLOOKUP($B103,INDIRECT(CONCATENATE("ChestData", SUBSTITUTE($B$100," ",""))),6,FALSE)+HLOOKUP($O$100,INDIRECT(CONCATENATE("ChestData", SUBSTITUTE($B$100," ",""))),8,FALSE)*(MOD(O$101-1, 5)+1)</f>
        <v>0</v>
      </c>
      <c r="P103" s="34">
        <f t="shared" si="78"/>
        <v>0</v>
      </c>
      <c r="Q103" s="34">
        <f t="shared" si="78"/>
        <v>0</v>
      </c>
      <c r="R103" s="34">
        <f t="shared" si="78"/>
        <v>0</v>
      </c>
      <c r="S103" s="34">
        <f t="shared" si="78"/>
        <v>0</v>
      </c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09" t="s">
        <v>10</v>
      </c>
      <c r="D104" s="101">
        <f t="shared" si="75"/>
        <v>0.035</v>
      </c>
      <c r="E104" s="102">
        <f t="shared" ref="E104:I104" si="79">VLOOKUP($B104,INDIRECT(CONCATENATE("ChestData", SUBSTITUTE($B$100," ",""))),4,FALSE)+HLOOKUP($E$100,INDIRECT(CONCATENATE("ChestData", SUBSTITUTE($B$100," ",""))),9,FALSE)*(MOD(E$101-1, 5)+1)</f>
        <v>0.039</v>
      </c>
      <c r="F104" s="102">
        <f t="shared" si="79"/>
        <v>0.048</v>
      </c>
      <c r="G104" s="102">
        <f t="shared" si="79"/>
        <v>0.057</v>
      </c>
      <c r="H104" s="102">
        <f t="shared" si="79"/>
        <v>0.066</v>
      </c>
      <c r="I104" s="102">
        <f t="shared" si="79"/>
        <v>0.075</v>
      </c>
      <c r="J104" s="103">
        <f t="shared" ref="J104:N104" si="80">VLOOKUP($B104,INDIRECT(CONCATENATE("ChestData", SUBSTITUTE($B$100," ",""))),5,FALSE)+HLOOKUP($J$100,INDIRECT(CONCATENATE("ChestData", SUBSTITUTE($B$100," ",""))),9,FALSE)*(MOD(J$101-1, 5)+1)</f>
        <v>0.07</v>
      </c>
      <c r="K104" s="103">
        <f t="shared" si="80"/>
        <v>0.1</v>
      </c>
      <c r="L104" s="103">
        <f t="shared" si="80"/>
        <v>0.13</v>
      </c>
      <c r="M104" s="103">
        <f t="shared" si="80"/>
        <v>0.16</v>
      </c>
      <c r="N104" s="103">
        <f t="shared" si="80"/>
        <v>0.19</v>
      </c>
      <c r="O104" s="104">
        <f t="shared" ref="O104:S104" si="81">VLOOKUP($B104,INDIRECT(CONCATENATE("ChestData", SUBSTITUTE($B$100," ",""))),6,FALSE)+HLOOKUP($O$100,INDIRECT(CONCATENATE("ChestData", SUBSTITUTE($B$100," ",""))),9,FALSE)*(MOD(O$101-1, 5)+1)</f>
        <v>0.04</v>
      </c>
      <c r="P104" s="104">
        <f t="shared" si="81"/>
        <v>0.06</v>
      </c>
      <c r="Q104" s="104">
        <f t="shared" si="81"/>
        <v>0.08</v>
      </c>
      <c r="R104" s="104">
        <f t="shared" si="81"/>
        <v>0.1</v>
      </c>
      <c r="S104" s="104">
        <f t="shared" si="81"/>
        <v>0.12</v>
      </c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98" t="s">
        <v>16</v>
      </c>
      <c r="D105" s="105">
        <f t="shared" si="75"/>
        <v>0.005</v>
      </c>
      <c r="E105" s="106">
        <f t="shared" ref="E105:I105" si="82">VLOOKUP($B105,INDIRECT(CONCATENATE("ChestData", SUBSTITUTE($B$100," ",""))),4,FALSE)+HLOOKUP($E$100,INDIRECT(CONCATENATE("ChestData", SUBSTITUTE($B$100," ",""))),10,FALSE)*(MOD(E$101-1, 5)+1)</f>
        <v>0.006</v>
      </c>
      <c r="F105" s="106">
        <f t="shared" si="82"/>
        <v>0.007</v>
      </c>
      <c r="G105" s="106">
        <f t="shared" si="82"/>
        <v>0.008</v>
      </c>
      <c r="H105" s="106">
        <f t="shared" si="82"/>
        <v>0.009</v>
      </c>
      <c r="I105" s="106">
        <f t="shared" si="82"/>
        <v>0.01</v>
      </c>
      <c r="J105" s="108">
        <f t="shared" ref="J105:N105" si="83">VLOOKUP($B105,INDIRECT(CONCATENATE("ChestData", SUBSTITUTE($B$100," ",""))),5,FALSE)+HLOOKUP($J$100,INDIRECT(CONCATENATE("ChestData", SUBSTITUTE($B$100," ",""))),10,FALSE)*(MOD(J$101-1, 5)+1)</f>
        <v>0.012</v>
      </c>
      <c r="K105" s="108">
        <f t="shared" si="83"/>
        <v>0.014</v>
      </c>
      <c r="L105" s="108">
        <f t="shared" si="83"/>
        <v>0.016</v>
      </c>
      <c r="M105" s="108">
        <f t="shared" si="83"/>
        <v>0.018</v>
      </c>
      <c r="N105" s="108">
        <f t="shared" si="83"/>
        <v>0.02</v>
      </c>
      <c r="O105" s="34">
        <f t="shared" ref="O105:S105" si="84">VLOOKUP($B105,INDIRECT(CONCATENATE("ChestData", SUBSTITUTE($B$100," ",""))),6,FALSE)+HLOOKUP($O$100,INDIRECT(CONCATENATE("ChestData", SUBSTITUTE($B$100," ",""))),10,FALSE)*(MOD(O$101-1, 5)+1)</f>
        <v>0.002</v>
      </c>
      <c r="P105" s="34">
        <f t="shared" si="84"/>
        <v>0.0035</v>
      </c>
      <c r="Q105" s="34">
        <f t="shared" si="84"/>
        <v>0.005</v>
      </c>
      <c r="R105" s="34">
        <f t="shared" si="84"/>
        <v>0.0065</v>
      </c>
      <c r="S105" s="34">
        <f t="shared" si="84"/>
        <v>0.008</v>
      </c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20" t="s">
        <v>20</v>
      </c>
      <c r="D106" s="138">
        <v>0.0</v>
      </c>
      <c r="E106" s="102">
        <v>0.0</v>
      </c>
      <c r="F106" s="102">
        <v>0.0</v>
      </c>
      <c r="G106" s="102">
        <v>0.0</v>
      </c>
      <c r="H106" s="102">
        <v>0.0</v>
      </c>
      <c r="I106" s="102">
        <v>0.0</v>
      </c>
      <c r="J106" s="103">
        <v>0.0</v>
      </c>
      <c r="K106" s="103">
        <v>0.0</v>
      </c>
      <c r="L106" s="103">
        <v>0.0</v>
      </c>
      <c r="M106" s="103">
        <v>0.0</v>
      </c>
      <c r="N106" s="103">
        <v>0.0</v>
      </c>
      <c r="O106" s="104">
        <f t="shared" ref="O106:S106" si="85">VLOOKUP($B106,INDIRECT(CONCATENATE("ChestData", SUBSTITUTE($B$100," ",""))),6,FALSE)+HLOOKUP($O$100,INDIRECT(CONCATENATE("ChestData", SUBSTITUTE($B$100," ",""))),11,FALSE)*(MOD(O$101-1, 5)+1)</f>
        <v>0.003</v>
      </c>
      <c r="P106" s="104">
        <f t="shared" si="85"/>
        <v>0.00575</v>
      </c>
      <c r="Q106" s="104">
        <f t="shared" si="85"/>
        <v>0.0085</v>
      </c>
      <c r="R106" s="104">
        <f t="shared" si="85"/>
        <v>0.01125</v>
      </c>
      <c r="S106" s="104">
        <f t="shared" si="85"/>
        <v>0.014</v>
      </c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98" t="s">
        <v>44</v>
      </c>
      <c r="D107" s="123">
        <f>('Enchant Stats'!$D$38*D102)+('Enchant Stats'!$D$39*D103)+('Enchant Stats'!$D$40*D104)+('Enchant Stats'!$D$41*D105 )</f>
        <v>0.283676045</v>
      </c>
      <c r="E107" s="140">
        <f>('Enchant Stats'!$D$38*E102)+('Enchant Stats'!$D$39*E103)+('Enchant Stats'!$D$40*E104)+('Enchant Stats'!$D$41*E105 )</f>
        <v>0.3065701683</v>
      </c>
      <c r="F107" s="140">
        <f>('Enchant Stats'!$D$38*F102)+('Enchant Stats'!$D$39*F103)+('Enchant Stats'!$D$40*F104)+('Enchant Stats'!$D$41*F105 )</f>
        <v>0.3584477356</v>
      </c>
      <c r="G107" s="140">
        <f>('Enchant Stats'!$D$38*G102)+('Enchant Stats'!$D$39*G103)+('Enchant Stats'!$D$40*G104)+('Enchant Stats'!$D$41*G105 )</f>
        <v>0.4103253029</v>
      </c>
      <c r="H107" s="140">
        <f>('Enchant Stats'!$D$38*H102)+('Enchant Stats'!$D$39*H103)+('Enchant Stats'!$D$40*H104)+('Enchant Stats'!$D$41*H105 )</f>
        <v>0.4622028703</v>
      </c>
      <c r="I107" s="140">
        <f>('Enchant Stats'!$D$38*I102)+('Enchant Stats'!$D$39*I103)+('Enchant Stats'!$D$40*I104)+('Enchant Stats'!$D$41*I105 )</f>
        <v>0.5140804376</v>
      </c>
      <c r="J107" s="141">
        <f>('Enchant Stats'!$D$38*J102)+('Enchant Stats'!$D$39*J103)+('Enchant Stats'!$D$40*J104)+('Enchant Stats'!$D$41*J105 )</f>
        <v>0.5550601949</v>
      </c>
      <c r="K107" s="141">
        <f>('Enchant Stats'!$D$38*K102)+('Enchant Stats'!$D$39*K103)+('Enchant Stats'!$D$40*K104)+('Enchant Stats'!$D$41*K105 )</f>
        <v>0.6915677004</v>
      </c>
      <c r="L107" s="141">
        <f>('Enchant Stats'!$D$38*L102)+('Enchant Stats'!$D$39*L103)+('Enchant Stats'!$D$40*L104)+('Enchant Stats'!$D$41*L105 )</f>
        <v>0.8280752059</v>
      </c>
      <c r="M107" s="141">
        <f>('Enchant Stats'!$D$38*M102)+('Enchant Stats'!$D$39*M103)+('Enchant Stats'!$D$40*M104)+('Enchant Stats'!$D$41*M105 )</f>
        <v>0.9645827113</v>
      </c>
      <c r="N107" s="141">
        <f>('Enchant Stats'!$D$38*N102)+('Enchant Stats'!$D$39*N103)+('Enchant Stats'!$D$40*N104)+('Enchant Stats'!$D$41*N105 )</f>
        <v>1.101090217</v>
      </c>
      <c r="O107" s="126">
        <f>('Enchant Stats'!$D$38*O102)+('Enchant Stats'!$D$39*O103)+('Enchant Stats'!$D$40*O104)+('Enchant Stats'!$D$41*O105 )</f>
        <v>0.1780939069</v>
      </c>
      <c r="P107" s="126">
        <f>('Enchant Stats'!$D$38*P102)+('Enchant Stats'!$D$39*P103)+('Enchant Stats'!$D$40*P104)+('Enchant Stats'!$D$41*P105 )</f>
        <v>0.2736117021</v>
      </c>
      <c r="Q107" s="126">
        <f>('Enchant Stats'!$D$38*Q102)+('Enchant Stats'!$D$39*Q103)+('Enchant Stats'!$D$40*Q104)+('Enchant Stats'!$D$41*Q105 )</f>
        <v>0.3691294973</v>
      </c>
      <c r="R107" s="126">
        <f>('Enchant Stats'!$D$38*R102)+('Enchant Stats'!$D$39*R103)+('Enchant Stats'!$D$40*R104)+('Enchant Stats'!$D$41*R105 )</f>
        <v>0.4646472924</v>
      </c>
      <c r="S107" s="126">
        <f>('Enchant Stats'!$D$38*S102)+('Enchant Stats'!$D$39*S103)+('Enchant Stats'!$D$40*S104)+('Enchant Stats'!$D$41*S105 )</f>
        <v>0.5601650876</v>
      </c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1"/>
      <c r="C108" s="131"/>
      <c r="D108" s="131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4" t="s">
        <v>50</v>
      </c>
      <c r="D109" s="94"/>
      <c r="E109" s="144" t="s">
        <v>13</v>
      </c>
      <c r="J109" s="145" t="s">
        <v>14</v>
      </c>
      <c r="O109" s="97" t="s">
        <v>15</v>
      </c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98" t="s">
        <v>42</v>
      </c>
      <c r="D110" s="99">
        <v>5.0</v>
      </c>
      <c r="E110" s="146">
        <v>6.0</v>
      </c>
      <c r="F110" s="146">
        <v>7.0</v>
      </c>
      <c r="G110" s="146">
        <v>8.0</v>
      </c>
      <c r="H110" s="146">
        <v>9.0</v>
      </c>
      <c r="I110" s="146">
        <v>10.0</v>
      </c>
      <c r="J110" s="147">
        <v>11.0</v>
      </c>
      <c r="K110" s="147">
        <v>12.0</v>
      </c>
      <c r="L110" s="147">
        <v>13.0</v>
      </c>
      <c r="M110" s="147">
        <v>14.0</v>
      </c>
      <c r="N110" s="147">
        <v>15.0</v>
      </c>
      <c r="O110" s="100">
        <v>16.0</v>
      </c>
      <c r="P110" s="100">
        <v>17.0</v>
      </c>
      <c r="Q110" s="100">
        <v>18.0</v>
      </c>
      <c r="R110" s="100">
        <v>19.0</v>
      </c>
      <c r="S110" s="100">
        <v>20.0</v>
      </c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98" t="s">
        <v>8</v>
      </c>
      <c r="D111" s="101">
        <f t="shared" ref="D111:D114" si="89">VLOOKUP($B111,INDIRECT(CONCATENATE("ChestData", SUBSTITUTE($B$109," ",""))),3,FALSE)</f>
        <v>0.79</v>
      </c>
      <c r="E111" s="102">
        <f t="shared" ref="E111:I111" si="86">VLOOKUP($B111,INDIRECT(CONCATENATE("ChestData", SUBSTITUTE($B$109," ",""))),4,FALSE)+HLOOKUP($E$109,INDIRECT(CONCATENATE("ChestData", SUBSTITUTE($B$109," ",""))),7,FALSE)*(MOD(E$110-1, 5)+1)</f>
        <v>0.7335</v>
      </c>
      <c r="F111" s="102">
        <f t="shared" si="86"/>
        <v>0.727</v>
      </c>
      <c r="G111" s="102">
        <f t="shared" si="86"/>
        <v>0.7205</v>
      </c>
      <c r="H111" s="102">
        <f t="shared" si="86"/>
        <v>0.714</v>
      </c>
      <c r="I111" s="102">
        <f t="shared" si="86"/>
        <v>0.7075</v>
      </c>
      <c r="J111" s="103">
        <f t="shared" ref="J111:N111" si="87">VLOOKUP($B111,INDIRECT(CONCATENATE("ChestData", SUBSTITUTE($B$109," ",""))),5,FALSE)+HLOOKUP($J$109,INDIRECT(CONCATENATE("ChestData", SUBSTITUTE($B$109," ",""))),7,FALSE)*(MOD(J$110-1, 5)+1)</f>
        <v>0.7092</v>
      </c>
      <c r="K111" s="103">
        <f t="shared" si="87"/>
        <v>0.6984</v>
      </c>
      <c r="L111" s="103">
        <f t="shared" si="87"/>
        <v>0.6876</v>
      </c>
      <c r="M111" s="103">
        <f t="shared" si="87"/>
        <v>0.6768</v>
      </c>
      <c r="N111" s="103">
        <f t="shared" si="87"/>
        <v>0.666</v>
      </c>
      <c r="O111" s="104">
        <f t="shared" ref="O111:S111" si="88">VLOOKUP($B111,INDIRECT(CONCATENATE("ChestData", SUBSTITUTE($B$109," ",""))),6,FALSE)+HLOOKUP($O$109,INDIRECT(CONCATENATE("ChestData", SUBSTITUTE($B$109," ",""))),7,FALSE)*(MOD(O$110-1, 5)+1)</f>
        <v>0.9555</v>
      </c>
      <c r="P111" s="104">
        <f t="shared" si="88"/>
        <v>0.93175</v>
      </c>
      <c r="Q111" s="104">
        <f t="shared" si="88"/>
        <v>0.908</v>
      </c>
      <c r="R111" s="104">
        <f t="shared" si="88"/>
        <v>0.88425</v>
      </c>
      <c r="S111" s="104">
        <f t="shared" si="88"/>
        <v>0.8605</v>
      </c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98" t="s">
        <v>9</v>
      </c>
      <c r="D112" s="105">
        <f t="shared" si="89"/>
        <v>0.14</v>
      </c>
      <c r="E112" s="106">
        <f t="shared" ref="E112:I112" si="90">VLOOKUP($B112,INDIRECT(CONCATENATE("ChestData", SUBSTITUTE($B$109," ",""))),4,FALSE)+HLOOKUP($E$109,INDIRECT(CONCATENATE("ChestData", SUBSTITUTE($B$109," ",""))),8,FALSE)*(MOD(E$110-1, 5)+1)</f>
        <v>0.2</v>
      </c>
      <c r="F112" s="106">
        <f t="shared" si="90"/>
        <v>0.2</v>
      </c>
      <c r="G112" s="106">
        <f t="shared" si="90"/>
        <v>0.2</v>
      </c>
      <c r="H112" s="106">
        <f t="shared" si="90"/>
        <v>0.2</v>
      </c>
      <c r="I112" s="106">
        <f t="shared" si="90"/>
        <v>0.2</v>
      </c>
      <c r="J112" s="108">
        <f t="shared" ref="J112:N112" si="91">VLOOKUP($B112,INDIRECT(CONCATENATE("ChestData", SUBSTITUTE($B$109," ",""))),5,FALSE)+HLOOKUP($J$109,INDIRECT(CONCATENATE("ChestData", SUBSTITUTE($B$109," ",""))),8,FALSE)*(MOD(J$110-1, 5)+1)</f>
        <v>0.2</v>
      </c>
      <c r="K112" s="108">
        <f t="shared" si="91"/>
        <v>0.2</v>
      </c>
      <c r="L112" s="108">
        <f t="shared" si="91"/>
        <v>0.2</v>
      </c>
      <c r="M112" s="108">
        <f t="shared" si="91"/>
        <v>0.2</v>
      </c>
      <c r="N112" s="108">
        <f t="shared" si="91"/>
        <v>0.2</v>
      </c>
      <c r="O112" s="34">
        <f t="shared" ref="O112:S112" si="92">VLOOKUP($B112,INDIRECT(CONCATENATE("ChestData", SUBSTITUTE($B$109," ",""))),6,FALSE)+HLOOKUP($O$109,INDIRECT(CONCATENATE("ChestData", SUBSTITUTE($B$109," ",""))),8,FALSE)*(MOD(O$110-1, 5)+1)</f>
        <v>0</v>
      </c>
      <c r="P112" s="34">
        <f t="shared" si="92"/>
        <v>0</v>
      </c>
      <c r="Q112" s="34">
        <f t="shared" si="92"/>
        <v>0</v>
      </c>
      <c r="R112" s="34">
        <f t="shared" si="92"/>
        <v>0</v>
      </c>
      <c r="S112" s="34">
        <f t="shared" si="92"/>
        <v>0</v>
      </c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09" t="s">
        <v>10</v>
      </c>
      <c r="D113" s="101">
        <f t="shared" si="89"/>
        <v>0.06</v>
      </c>
      <c r="E113" s="102">
        <f t="shared" ref="E113:I113" si="93">VLOOKUP($B113,INDIRECT(CONCATENATE("ChestData", SUBSTITUTE($B$109," ",""))),4,FALSE)+HLOOKUP($E$109,INDIRECT(CONCATENATE("ChestData", SUBSTITUTE($B$109," ",""))),9,FALSE)*(MOD(E$110-1, 5)+1)</f>
        <v>0.056</v>
      </c>
      <c r="F113" s="102">
        <f t="shared" si="93"/>
        <v>0.062</v>
      </c>
      <c r="G113" s="102">
        <f t="shared" si="93"/>
        <v>0.068</v>
      </c>
      <c r="H113" s="102">
        <f t="shared" si="93"/>
        <v>0.074</v>
      </c>
      <c r="I113" s="102">
        <f t="shared" si="93"/>
        <v>0.08</v>
      </c>
      <c r="J113" s="103">
        <f t="shared" ref="J113:N113" si="94">VLOOKUP($B113,INDIRECT(CONCATENATE("ChestData", SUBSTITUTE($B$109," ",""))),5,FALSE)+HLOOKUP($J$109,INDIRECT(CONCATENATE("ChestData", SUBSTITUTE($B$109," ",""))),9,FALSE)*(MOD(J$110-1, 5)+1)</f>
        <v>0.07</v>
      </c>
      <c r="K113" s="103">
        <f t="shared" si="94"/>
        <v>0.08</v>
      </c>
      <c r="L113" s="103">
        <f t="shared" si="94"/>
        <v>0.09</v>
      </c>
      <c r="M113" s="103">
        <f t="shared" si="94"/>
        <v>0.1</v>
      </c>
      <c r="N113" s="103">
        <f t="shared" si="94"/>
        <v>0.11</v>
      </c>
      <c r="O113" s="104">
        <f t="shared" ref="O113:S113" si="95">VLOOKUP($B113,INDIRECT(CONCATENATE("ChestData", SUBSTITUTE($B$109," ",""))),6,FALSE)+HLOOKUP($O$109,INDIRECT(CONCATENATE("ChestData", SUBSTITUTE($B$109," ",""))),9,FALSE)*(MOD(O$110-1, 5)+1)</f>
        <v>0.04</v>
      </c>
      <c r="P113" s="104">
        <f t="shared" si="95"/>
        <v>0.06</v>
      </c>
      <c r="Q113" s="104">
        <f t="shared" si="95"/>
        <v>0.08</v>
      </c>
      <c r="R113" s="104">
        <f t="shared" si="95"/>
        <v>0.1</v>
      </c>
      <c r="S113" s="104">
        <f t="shared" si="95"/>
        <v>0.12</v>
      </c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98" t="s">
        <v>16</v>
      </c>
      <c r="D114" s="105">
        <f t="shared" si="89"/>
        <v>0.01</v>
      </c>
      <c r="E114" s="106">
        <f t="shared" ref="E114:I114" si="96">VLOOKUP($B114,INDIRECT(CONCATENATE("ChestData", SUBSTITUTE($B$109," ",""))),4,FALSE)+HLOOKUP($E$109,INDIRECT(CONCATENATE("ChestData", SUBSTITUTE($B$109," ",""))),10,FALSE)*(MOD(E$110-1, 5)+1)</f>
        <v>0.0105</v>
      </c>
      <c r="F114" s="106">
        <f t="shared" si="96"/>
        <v>0.011</v>
      </c>
      <c r="G114" s="106">
        <f t="shared" si="96"/>
        <v>0.0115</v>
      </c>
      <c r="H114" s="106">
        <f t="shared" si="96"/>
        <v>0.012</v>
      </c>
      <c r="I114" s="106">
        <f t="shared" si="96"/>
        <v>0.0125</v>
      </c>
      <c r="J114" s="108">
        <f t="shared" ref="J114:N114" si="97">VLOOKUP($B114,INDIRECT(CONCATENATE("ChestData", SUBSTITUTE($B$109," ",""))),5,FALSE)+HLOOKUP($J$109,INDIRECT(CONCATENATE("ChestData", SUBSTITUTE($B$109," ",""))),10,FALSE)*(MOD(J$110-1, 5)+1)</f>
        <v>0.0208</v>
      </c>
      <c r="K114" s="108">
        <f t="shared" si="97"/>
        <v>0.0216</v>
      </c>
      <c r="L114" s="108">
        <f t="shared" si="97"/>
        <v>0.0224</v>
      </c>
      <c r="M114" s="108">
        <f t="shared" si="97"/>
        <v>0.0232</v>
      </c>
      <c r="N114" s="108">
        <f t="shared" si="97"/>
        <v>0.024</v>
      </c>
      <c r="O114" s="34">
        <f t="shared" ref="O114:S114" si="98">VLOOKUP($B114,INDIRECT(CONCATENATE("ChestData", SUBSTITUTE($B$109," ",""))),6,FALSE)+HLOOKUP($O$109,INDIRECT(CONCATENATE("ChestData", SUBSTITUTE($B$109," ",""))),10,FALSE)*(MOD(O$110-1, 5)+1)</f>
        <v>0.002</v>
      </c>
      <c r="P114" s="34">
        <f t="shared" si="98"/>
        <v>0.0035</v>
      </c>
      <c r="Q114" s="34">
        <f t="shared" si="98"/>
        <v>0.005</v>
      </c>
      <c r="R114" s="34">
        <f t="shared" si="98"/>
        <v>0.0065</v>
      </c>
      <c r="S114" s="34">
        <f t="shared" si="98"/>
        <v>0.008</v>
      </c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20" t="s">
        <v>20</v>
      </c>
      <c r="D115" s="138">
        <v>0.0</v>
      </c>
      <c r="E115" s="102">
        <v>0.0</v>
      </c>
      <c r="F115" s="102">
        <v>0.0</v>
      </c>
      <c r="G115" s="102">
        <v>0.0</v>
      </c>
      <c r="H115" s="102">
        <v>0.0</v>
      </c>
      <c r="I115" s="102">
        <v>0.0</v>
      </c>
      <c r="J115" s="103">
        <v>0.0</v>
      </c>
      <c r="K115" s="103">
        <v>0.0</v>
      </c>
      <c r="L115" s="103">
        <v>0.0</v>
      </c>
      <c r="M115" s="103">
        <v>0.0</v>
      </c>
      <c r="N115" s="103">
        <v>0.0</v>
      </c>
      <c r="O115" s="104">
        <f t="shared" ref="O115:S115" si="99">VLOOKUP($B115,INDIRECT(CONCATENATE("ChestData", SUBSTITUTE($B$109," ",""))),6,FALSE)+HLOOKUP($O$109,INDIRECT(CONCATENATE("ChestData", SUBSTITUTE($B$109," ",""))),11,FALSE)*(MOD(O$110-1, 5)+1)</f>
        <v>0.0025</v>
      </c>
      <c r="P115" s="104">
        <f t="shared" si="99"/>
        <v>0.00475</v>
      </c>
      <c r="Q115" s="104">
        <f t="shared" si="99"/>
        <v>0.007</v>
      </c>
      <c r="R115" s="104">
        <f t="shared" si="99"/>
        <v>0.00925</v>
      </c>
      <c r="S115" s="104">
        <f t="shared" si="99"/>
        <v>0.0115</v>
      </c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98" t="s">
        <v>44</v>
      </c>
      <c r="D116" s="123">
        <f>('Enchant Stats'!$D$38*D111)+('Enchant Stats'!$D$39*D112)+('Enchant Stats'!$D$40*D113)+('Enchant Stats'!$D$41*D114 )</f>
        <v>0.4819037586</v>
      </c>
      <c r="E116" s="140">
        <f>('Enchant Stats'!$D$38*E111)+('Enchant Stats'!$D$39*E112)+('Enchant Stats'!$D$40*E113)+('Enchant Stats'!$D$41*E114 )</f>
        <v>0.4977886231</v>
      </c>
      <c r="F116" s="140">
        <f>('Enchant Stats'!$D$38*F111)+('Enchant Stats'!$D$39*F112)+('Enchant Stats'!$D$40*F113)+('Enchant Stats'!$D$41*F114 )</f>
        <v>0.5278214531</v>
      </c>
      <c r="G116" s="140">
        <f>('Enchant Stats'!$D$38*G111)+('Enchant Stats'!$D$39*G112)+('Enchant Stats'!$D$40*G113)+('Enchant Stats'!$D$41*G114 )</f>
        <v>0.5578542832</v>
      </c>
      <c r="H116" s="140">
        <f>('Enchant Stats'!$D$38*H111)+('Enchant Stats'!$D$39*H112)+('Enchant Stats'!$D$40*H113)+('Enchant Stats'!$D$41*H114 )</f>
        <v>0.5878871132</v>
      </c>
      <c r="I116" s="140">
        <f>('Enchant Stats'!$D$38*I111)+('Enchant Stats'!$D$39*I112)+('Enchant Stats'!$D$40*I113)+('Enchant Stats'!$D$41*I114 )</f>
        <v>0.6179199432</v>
      </c>
      <c r="J116" s="141">
        <f>('Enchant Stats'!$D$38*J111)+('Enchant Stats'!$D$39*J112)+('Enchant Stats'!$D$40*J113)+('Enchant Stats'!$D$41*J114 )</f>
        <v>0.8173266015</v>
      </c>
      <c r="K116" s="141">
        <f>('Enchant Stats'!$D$38*K111)+('Enchant Stats'!$D$39*K112)+('Enchant Stats'!$D$40*K113)+('Enchant Stats'!$D$41*K114 )</f>
        <v>0.8664708752</v>
      </c>
      <c r="L116" s="141">
        <f>('Enchant Stats'!$D$38*L111)+('Enchant Stats'!$D$39*L112)+('Enchant Stats'!$D$40*L113)+('Enchant Stats'!$D$41*L114 )</f>
        <v>0.9156151489</v>
      </c>
      <c r="M116" s="141">
        <f>('Enchant Stats'!$D$38*M111)+('Enchant Stats'!$D$39*M112)+('Enchant Stats'!$D$40*M113)+('Enchant Stats'!$D$41*M114 )</f>
        <v>0.9647594227</v>
      </c>
      <c r="N116" s="141">
        <f>('Enchant Stats'!$D$38*N111)+('Enchant Stats'!$D$39*N112)+('Enchant Stats'!$D$40*N113)+('Enchant Stats'!$D$41*N114 )</f>
        <v>1.013903696</v>
      </c>
      <c r="O116" s="126">
        <f>('Enchant Stats'!$D$38*O111)+('Enchant Stats'!$D$39*O112)+('Enchant Stats'!$D$40*O113)+('Enchant Stats'!$D$41*O114 )</f>
        <v>0.1781010748</v>
      </c>
      <c r="P116" s="126">
        <f>('Enchant Stats'!$D$38*P111)+('Enchant Stats'!$D$39*P112)+('Enchant Stats'!$D$40*P113)+('Enchant Stats'!$D$41*P114 )</f>
        <v>0.2736260379</v>
      </c>
      <c r="Q116" s="126">
        <f>('Enchant Stats'!$D$38*Q111)+('Enchant Stats'!$D$39*Q112)+('Enchant Stats'!$D$40*Q113)+('Enchant Stats'!$D$41*Q114 )</f>
        <v>0.3691510009</v>
      </c>
      <c r="R116" s="126">
        <f>('Enchant Stats'!$D$38*R111)+('Enchant Stats'!$D$39*R112)+('Enchant Stats'!$D$40*R113)+('Enchant Stats'!$D$41*R114 )</f>
        <v>0.464675964</v>
      </c>
      <c r="S116" s="126">
        <f>('Enchant Stats'!$D$38*S111)+('Enchant Stats'!$D$39*S112)+('Enchant Stats'!$D$40*S113)+('Enchant Stats'!$D$41*S114 )</f>
        <v>0.560200927</v>
      </c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1"/>
      <c r="C117" s="131"/>
      <c r="D117" s="131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4" t="s">
        <v>51</v>
      </c>
      <c r="D118" s="94"/>
      <c r="E118" s="144" t="s">
        <v>13</v>
      </c>
      <c r="J118" s="145" t="s">
        <v>14</v>
      </c>
      <c r="O118" s="97" t="s">
        <v>15</v>
      </c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98" t="s">
        <v>42</v>
      </c>
      <c r="D119" s="99">
        <v>5.0</v>
      </c>
      <c r="E119" s="146">
        <v>6.0</v>
      </c>
      <c r="F119" s="146">
        <v>7.0</v>
      </c>
      <c r="G119" s="146">
        <v>8.0</v>
      </c>
      <c r="H119" s="146">
        <v>9.0</v>
      </c>
      <c r="I119" s="146">
        <v>10.0</v>
      </c>
      <c r="J119" s="147">
        <v>11.0</v>
      </c>
      <c r="K119" s="147">
        <v>12.0</v>
      </c>
      <c r="L119" s="147">
        <v>13.0</v>
      </c>
      <c r="M119" s="147">
        <v>14.0</v>
      </c>
      <c r="N119" s="147">
        <v>15.0</v>
      </c>
      <c r="O119" s="100">
        <v>16.0</v>
      </c>
      <c r="P119" s="100">
        <v>17.0</v>
      </c>
      <c r="Q119" s="100">
        <v>18.0</v>
      </c>
      <c r="R119" s="100">
        <v>19.0</v>
      </c>
      <c r="S119" s="100">
        <v>20.0</v>
      </c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98" t="s">
        <v>8</v>
      </c>
      <c r="D120" s="101">
        <f t="shared" ref="D120:D123" si="103">VLOOKUP($B120,INDIRECT(CONCATENATE("ChestData", SUBSTITUTE($B$118," ",""))),3,FALSE)</f>
        <v>0.6</v>
      </c>
      <c r="E120" s="102">
        <f t="array" ref="E120">VLOOKUP($B120,INDIRECT(CONCATENATE("ChestData", SUBSTITUTE($B$118," ",""))),5,FALSE)+HLOOKUP($E$118,INDIRECT(CONCATENATE("ChestData", SUBSTITUTE($B$118," ",""))),7,FALSE)*(MOD(E$119-1, 5)+1)</f>
        <v>0.51</v>
      </c>
      <c r="F120" s="102">
        <f t="shared" ref="F120:I120" si="100">VLOOKUP($B120,INDIRECT(CONCATENATE("ChestData", SUBSTITUTE($B$118," ",""))),4,FALSE)+HLOOKUP($E$118,INDIRECT(CONCATENATE("ChestData", SUBSTITUTE($B$118," ",""))),7,FALSE)*(MOD(F$119-1, 5)+1)</f>
        <v>0.57</v>
      </c>
      <c r="G120" s="102">
        <f t="shared" si="100"/>
        <v>0.555</v>
      </c>
      <c r="H120" s="102">
        <f t="shared" si="100"/>
        <v>0.54</v>
      </c>
      <c r="I120" s="102">
        <f t="shared" si="100"/>
        <v>0.525</v>
      </c>
      <c r="J120" s="103">
        <f t="shared" ref="J120:N120" si="101">VLOOKUP($B120,INDIRECT(CONCATENATE("ChestData", SUBSTITUTE($B$118," ",""))),5,FALSE)+HLOOKUP($J$118,INDIRECT(CONCATENATE("ChestData", SUBSTITUTE($B$118," ",""))),7,FALSE)*(MOD(J$119-1, 5)+1)</f>
        <v>0.4835</v>
      </c>
      <c r="K120" s="103">
        <f t="shared" si="101"/>
        <v>0.442</v>
      </c>
      <c r="L120" s="103">
        <f t="shared" si="101"/>
        <v>0.4005</v>
      </c>
      <c r="M120" s="103">
        <f t="shared" si="101"/>
        <v>0.359</v>
      </c>
      <c r="N120" s="103">
        <f t="shared" si="101"/>
        <v>0.3175</v>
      </c>
      <c r="O120" s="104">
        <f t="shared" ref="O120:S120" si="102">VLOOKUP($B120,INDIRECT(CONCATENATE("ChestData", SUBSTITUTE($B$118," ",""))),6,FALSE)+HLOOKUP($O$118,INDIRECT(CONCATENATE("ChestData", SUBSTITUTE($B$118," ",""))),7,FALSE)*(MOD(O$119-1, 5)+1)</f>
        <v>0.95475</v>
      </c>
      <c r="P120" s="104">
        <f t="shared" si="102"/>
        <v>0.93025</v>
      </c>
      <c r="Q120" s="104">
        <f t="shared" si="102"/>
        <v>0.90575</v>
      </c>
      <c r="R120" s="104">
        <f t="shared" si="102"/>
        <v>0.88125</v>
      </c>
      <c r="S120" s="104">
        <f t="shared" si="102"/>
        <v>0.85675</v>
      </c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98" t="s">
        <v>9</v>
      </c>
      <c r="D121" s="105">
        <f t="shared" si="103"/>
        <v>0.335</v>
      </c>
      <c r="E121" s="106">
        <f t="shared" ref="E121:I121" si="104">VLOOKUP($B121,INDIRECT(CONCATENATE("ChestData", SUBSTITUTE($B$118," ",""))),4,FALSE)+HLOOKUP($E$118,INDIRECT(CONCATENATE("ChestData", SUBSTITUTE($B$118," ",""))),8,FALSE)*(MOD(E$119-1, 5)+1)</f>
        <v>0.335</v>
      </c>
      <c r="F121" s="106">
        <f t="shared" si="104"/>
        <v>0.335</v>
      </c>
      <c r="G121" s="106">
        <f t="shared" si="104"/>
        <v>0.335</v>
      </c>
      <c r="H121" s="106">
        <f t="shared" si="104"/>
        <v>0.335</v>
      </c>
      <c r="I121" s="106">
        <f t="shared" si="104"/>
        <v>0.335</v>
      </c>
      <c r="J121" s="108">
        <f t="shared" ref="J121:N121" si="105">VLOOKUP($B121,INDIRECT(CONCATENATE("ChestData", SUBSTITUTE($B$118," ",""))),5,FALSE)+HLOOKUP($J$118,INDIRECT(CONCATENATE("ChestData", SUBSTITUTE($B$118," ",""))),8,FALSE)*(MOD(J$119-1, 5)+1)</f>
        <v>0.356</v>
      </c>
      <c r="K121" s="108">
        <f t="shared" si="105"/>
        <v>0.377</v>
      </c>
      <c r="L121" s="108">
        <f t="shared" si="105"/>
        <v>0.398</v>
      </c>
      <c r="M121" s="108">
        <f t="shared" si="105"/>
        <v>0.419</v>
      </c>
      <c r="N121" s="108">
        <f t="shared" si="105"/>
        <v>0.44</v>
      </c>
      <c r="O121" s="34">
        <f t="shared" ref="O121:S121" si="106">VLOOKUP($B121,INDIRECT(CONCATENATE("ChestData", SUBSTITUTE($B$118," ",""))),6,FALSE)+HLOOKUP($O$118,INDIRECT(CONCATENATE("ChestData", SUBSTITUTE($B$118," ",""))),8,FALSE)*(MOD(O$119-1, 5)+1)</f>
        <v>0</v>
      </c>
      <c r="P121" s="34">
        <f t="shared" si="106"/>
        <v>0</v>
      </c>
      <c r="Q121" s="34">
        <f t="shared" si="106"/>
        <v>0</v>
      </c>
      <c r="R121" s="34">
        <f t="shared" si="106"/>
        <v>0</v>
      </c>
      <c r="S121" s="34">
        <f t="shared" si="106"/>
        <v>0</v>
      </c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09" t="s">
        <v>10</v>
      </c>
      <c r="D122" s="101">
        <f t="shared" si="103"/>
        <v>0.05</v>
      </c>
      <c r="E122" s="102">
        <f t="shared" ref="E122:I122" si="107">VLOOKUP($B122,INDIRECT(CONCATENATE("ChestData", SUBSTITUTE($B$118," ",""))),4,FALSE)+HLOOKUP($E$118,INDIRECT(CONCATENATE("ChestData", SUBSTITUTE($B$118," ",""))),9,FALSE)*(MOD(E$119-1, 5)+1)</f>
        <v>0.064</v>
      </c>
      <c r="F122" s="102">
        <f t="shared" si="107"/>
        <v>0.078</v>
      </c>
      <c r="G122" s="102">
        <f t="shared" si="107"/>
        <v>0.092</v>
      </c>
      <c r="H122" s="102">
        <f t="shared" si="107"/>
        <v>0.106</v>
      </c>
      <c r="I122" s="102">
        <f t="shared" si="107"/>
        <v>0.12</v>
      </c>
      <c r="J122" s="103">
        <f t="shared" ref="J122:N122" si="108">VLOOKUP($B122,INDIRECT(CONCATENATE("ChestData", SUBSTITUTE($B$118," ",""))),5,FALSE)+HLOOKUP($J$118,INDIRECT(CONCATENATE("ChestData", SUBSTITUTE($B$118," ",""))),9,FALSE)*(MOD(J$119-1, 5)+1)</f>
        <v>0.139</v>
      </c>
      <c r="K122" s="103">
        <f t="shared" si="108"/>
        <v>0.158</v>
      </c>
      <c r="L122" s="103">
        <f t="shared" si="108"/>
        <v>0.177</v>
      </c>
      <c r="M122" s="103">
        <f t="shared" si="108"/>
        <v>0.196</v>
      </c>
      <c r="N122" s="103">
        <f t="shared" si="108"/>
        <v>0.215</v>
      </c>
      <c r="O122" s="104">
        <f t="shared" ref="O122:S122" si="109">VLOOKUP($B122,INDIRECT(CONCATENATE("ChestData", SUBSTITUTE($B$118," ",""))),6,FALSE)+HLOOKUP($O$118,INDIRECT(CONCATENATE("ChestData", SUBSTITUTE($B$118," ",""))),9,FALSE)*(MOD(O$119-1, 5)+1)</f>
        <v>0.04</v>
      </c>
      <c r="P122" s="104">
        <f t="shared" si="109"/>
        <v>0.06</v>
      </c>
      <c r="Q122" s="104">
        <f t="shared" si="109"/>
        <v>0.08</v>
      </c>
      <c r="R122" s="104">
        <f t="shared" si="109"/>
        <v>0.1</v>
      </c>
      <c r="S122" s="104">
        <f t="shared" si="109"/>
        <v>0.12</v>
      </c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98" t="s">
        <v>16</v>
      </c>
      <c r="D123" s="105">
        <f t="shared" si="103"/>
        <v>0.015</v>
      </c>
      <c r="E123" s="106">
        <f t="shared" ref="E123:I123" si="110">VLOOKUP($B123,INDIRECT(CONCATENATE("ChestData", SUBSTITUTE($B$118," ",""))),4,FALSE)+HLOOKUP($E$118,INDIRECT(CONCATENATE("ChestData", SUBSTITUTE($B$118," ",""))),10,FALSE)*(MOD(E$119-1, 5)+1)</f>
        <v>0.016</v>
      </c>
      <c r="F123" s="106">
        <f t="shared" si="110"/>
        <v>0.017</v>
      </c>
      <c r="G123" s="106">
        <f t="shared" si="110"/>
        <v>0.018</v>
      </c>
      <c r="H123" s="106">
        <f t="shared" si="110"/>
        <v>0.019</v>
      </c>
      <c r="I123" s="106">
        <f t="shared" si="110"/>
        <v>0.02</v>
      </c>
      <c r="J123" s="108">
        <f t="shared" ref="J123:N123" si="111">VLOOKUP($B123,INDIRECT(CONCATENATE("ChestData", SUBSTITUTE($B$118," ",""))),5,FALSE)+HLOOKUP($J$118,INDIRECT(CONCATENATE("ChestData", SUBSTITUTE($B$118," ",""))),10,FALSE)*(MOD(J$119-1, 5)+1)</f>
        <v>0.0215</v>
      </c>
      <c r="K123" s="108">
        <f t="shared" si="111"/>
        <v>0.023</v>
      </c>
      <c r="L123" s="108">
        <f t="shared" si="111"/>
        <v>0.0245</v>
      </c>
      <c r="M123" s="108">
        <f t="shared" si="111"/>
        <v>0.026</v>
      </c>
      <c r="N123" s="108">
        <f t="shared" si="111"/>
        <v>0.0275</v>
      </c>
      <c r="O123" s="34">
        <f t="shared" ref="O123:S123" si="112">VLOOKUP($B123,INDIRECT(CONCATENATE("ChestData", SUBSTITUTE($B$118," ",""))),6,FALSE)+HLOOKUP($O$118,INDIRECT(CONCATENATE("ChestData", SUBSTITUTE($B$118," ",""))),10,FALSE)*(MOD(O$119-1, 5)+1)</f>
        <v>0.002</v>
      </c>
      <c r="P123" s="34">
        <f t="shared" si="112"/>
        <v>0.0035</v>
      </c>
      <c r="Q123" s="34">
        <f t="shared" si="112"/>
        <v>0.005</v>
      </c>
      <c r="R123" s="34">
        <f t="shared" si="112"/>
        <v>0.0065</v>
      </c>
      <c r="S123" s="34">
        <f t="shared" si="112"/>
        <v>0.008</v>
      </c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20" t="s">
        <v>20</v>
      </c>
      <c r="D124" s="138">
        <v>0.0</v>
      </c>
      <c r="E124" s="102">
        <v>0.0</v>
      </c>
      <c r="F124" s="102">
        <v>0.0</v>
      </c>
      <c r="G124" s="102">
        <v>0.0</v>
      </c>
      <c r="H124" s="102">
        <v>0.0</v>
      </c>
      <c r="I124" s="102">
        <v>0.0</v>
      </c>
      <c r="J124" s="103">
        <v>0.0</v>
      </c>
      <c r="K124" s="103">
        <v>0.0</v>
      </c>
      <c r="L124" s="103">
        <v>0.0</v>
      </c>
      <c r="M124" s="103">
        <v>0.0</v>
      </c>
      <c r="N124" s="103">
        <v>0.0</v>
      </c>
      <c r="O124" s="104">
        <f t="shared" ref="O124:S124" si="113">VLOOKUP($B124,INDIRECT(CONCATENATE("ChestData", SUBSTITUTE($B$118," ",""))),6,FALSE)+HLOOKUP($O$118,INDIRECT(CONCATENATE("ChestData", SUBSTITUTE($B$118," ",""))),11,FALSE)*(MOD(O$119-1, 5)+1)</f>
        <v>0.00325</v>
      </c>
      <c r="P124" s="104">
        <f t="shared" si="113"/>
        <v>0.00625</v>
      </c>
      <c r="Q124" s="104">
        <f t="shared" si="113"/>
        <v>0.00925</v>
      </c>
      <c r="R124" s="104">
        <f t="shared" si="113"/>
        <v>0.01225</v>
      </c>
      <c r="S124" s="104">
        <f t="shared" si="113"/>
        <v>0.01525</v>
      </c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98" t="s">
        <v>44</v>
      </c>
      <c r="D125" s="123">
        <f>('Enchant Stats'!$D$38*D120)+('Enchant Stats'!$D$39*D121)+('Enchant Stats'!$D$40*D122)+('Enchant Stats'!$D$41*D123 )</f>
        <v>0.6339000121</v>
      </c>
      <c r="E125" s="140">
        <f>('Enchant Stats'!$D$38*E120)+('Enchant Stats'!$D$39*E121)+('Enchant Stats'!$D$40*E122)+('Enchant Stats'!$D$41*E123 )</f>
        <v>0.6983492181</v>
      </c>
      <c r="F125" s="140">
        <f>('Enchant Stats'!$D$38*F120)+('Enchant Stats'!$D$39*F121)+('Enchant Stats'!$D$40*F122)+('Enchant Stats'!$D$41*F123 )</f>
        <v>0.7649487891</v>
      </c>
      <c r="G125" s="140">
        <f>('Enchant Stats'!$D$38*G120)+('Enchant Stats'!$D$39*G121)+('Enchant Stats'!$D$40*G122)+('Enchant Stats'!$D$41*G123 )</f>
        <v>0.8304731776</v>
      </c>
      <c r="H125" s="140">
        <f>('Enchant Stats'!$D$38*H120)+('Enchant Stats'!$D$39*H121)+('Enchant Stats'!$D$40*H122)+('Enchant Stats'!$D$41*H123 )</f>
        <v>0.8959975661</v>
      </c>
      <c r="I125" s="140">
        <f>('Enchant Stats'!$D$38*I120)+('Enchant Stats'!$D$39*I121)+('Enchant Stats'!$D$40*I122)+('Enchant Stats'!$D$41*I123 )</f>
        <v>0.9615219546</v>
      </c>
      <c r="J125" s="141">
        <f>('Enchant Stats'!$D$38*J120)+('Enchant Stats'!$D$39*J121)+('Enchant Stats'!$D$40*J122)+('Enchant Stats'!$D$41*J123 )</f>
        <v>1.058950796</v>
      </c>
      <c r="K125" s="141">
        <f>('Enchant Stats'!$D$38*K120)+('Enchant Stats'!$D$39*K121)+('Enchant Stats'!$D$40*K122)+('Enchant Stats'!$D$41*K123 )</f>
        <v>1.156379637</v>
      </c>
      <c r="L125" s="141">
        <f>('Enchant Stats'!$D$38*L120)+('Enchant Stats'!$D$39*L121)+('Enchant Stats'!$D$40*L122)+('Enchant Stats'!$D$41*L123 )</f>
        <v>1.253808478</v>
      </c>
      <c r="M125" s="141">
        <f>('Enchant Stats'!$D$38*M120)+('Enchant Stats'!$D$39*M121)+('Enchant Stats'!$D$40*M122)+('Enchant Stats'!$D$41*M123 )</f>
        <v>1.351237319</v>
      </c>
      <c r="N125" s="141">
        <f>('Enchant Stats'!$D$38*N120)+('Enchant Stats'!$D$39*N121)+('Enchant Stats'!$D$40*N122)+('Enchant Stats'!$D$41*N123 )</f>
        <v>1.44866616</v>
      </c>
      <c r="O125" s="126">
        <f>('Enchant Stats'!$D$38*O120)+('Enchant Stats'!$D$39*O121)+('Enchant Stats'!$D$40*O122)+('Enchant Stats'!$D$41*O123 )</f>
        <v>0.178090323</v>
      </c>
      <c r="P125" s="126">
        <f>('Enchant Stats'!$D$38*P120)+('Enchant Stats'!$D$39*P121)+('Enchant Stats'!$D$40*P122)+('Enchant Stats'!$D$41*P123 )</f>
        <v>0.2736045342</v>
      </c>
      <c r="Q125" s="126">
        <f>('Enchant Stats'!$D$38*Q120)+('Enchant Stats'!$D$39*Q121)+('Enchant Stats'!$D$40*Q122)+('Enchant Stats'!$D$41*Q123 )</f>
        <v>0.3691187454</v>
      </c>
      <c r="R125" s="126">
        <f>('Enchant Stats'!$D$38*R120)+('Enchant Stats'!$D$39*R121)+('Enchant Stats'!$D$40*R122)+('Enchant Stats'!$D$41*R123 )</f>
        <v>0.4646329567</v>
      </c>
      <c r="S125" s="126">
        <f>('Enchant Stats'!$D$38*S120)+('Enchant Stats'!$D$39*S121)+('Enchant Stats'!$D$40*S122)+('Enchant Stats'!$D$41*S123 )</f>
        <v>0.5601471679</v>
      </c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48"/>
      <c r="C126" s="14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48"/>
      <c r="C127" s="14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10" t="s">
        <v>52</v>
      </c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10" t="s">
        <v>41</v>
      </c>
      <c r="D129" s="149"/>
      <c r="E129" s="150" t="s">
        <v>53</v>
      </c>
      <c r="J129" s="151" t="s">
        <v>54</v>
      </c>
      <c r="O129" s="152" t="s">
        <v>55</v>
      </c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D130" s="149">
        <v>5.0</v>
      </c>
      <c r="E130" s="39">
        <v>6.0</v>
      </c>
      <c r="F130" s="39">
        <v>7.0</v>
      </c>
      <c r="G130" s="39">
        <v>8.0</v>
      </c>
      <c r="H130" s="39">
        <v>9.0</v>
      </c>
      <c r="I130" s="39">
        <v>10.0</v>
      </c>
      <c r="J130" s="40">
        <v>11.0</v>
      </c>
      <c r="K130" s="40">
        <v>12.0</v>
      </c>
      <c r="L130" s="40">
        <v>13.0</v>
      </c>
      <c r="M130" s="40">
        <v>14.0</v>
      </c>
      <c r="N130" s="40">
        <v>15.0</v>
      </c>
      <c r="O130" s="153">
        <v>16.0</v>
      </c>
      <c r="P130" s="153">
        <v>17.0</v>
      </c>
      <c r="Q130" s="153">
        <v>18.0</v>
      </c>
      <c r="R130" s="153">
        <v>19.0</v>
      </c>
      <c r="S130" s="153">
        <v>20.0</v>
      </c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54">
        <v>1.0</v>
      </c>
      <c r="C131" s="155" t="s">
        <v>27</v>
      </c>
      <c r="D131" s="156">
        <f t="shared" ref="D131:S131" si="114">$B131/HLOOKUP(D$130,INDIRECT(CONCATENATE("ChestValue", SUBSTITUTE($B$129," ",""))),7,FALSE)</f>
        <v>2.394920465</v>
      </c>
      <c r="E131" s="157">
        <f t="shared" si="114"/>
        <v>0.8567732588</v>
      </c>
      <c r="F131" s="157">
        <f t="shared" si="114"/>
        <v>0.7817976542</v>
      </c>
      <c r="G131" s="157">
        <f t="shared" si="114"/>
        <v>0.718888265</v>
      </c>
      <c r="H131" s="157">
        <f t="shared" si="114"/>
        <v>0.6653492044</v>
      </c>
      <c r="I131" s="157">
        <f t="shared" si="114"/>
        <v>0.6192320226</v>
      </c>
      <c r="J131" s="158">
        <f t="shared" si="114"/>
        <v>0.5618696502</v>
      </c>
      <c r="K131" s="158">
        <f t="shared" si="114"/>
        <v>0.5142337604</v>
      </c>
      <c r="L131" s="158">
        <f t="shared" si="114"/>
        <v>0.474043834</v>
      </c>
      <c r="M131" s="158">
        <f t="shared" si="114"/>
        <v>0.4396806075</v>
      </c>
      <c r="N131" s="158">
        <f t="shared" si="114"/>
        <v>0.4099626009</v>
      </c>
      <c r="O131" s="159">
        <f t="shared" si="114"/>
        <v>5.615919344</v>
      </c>
      <c r="P131" s="159">
        <f t="shared" si="114"/>
        <v>3.655580571</v>
      </c>
      <c r="Q131" s="159">
        <f t="shared" si="114"/>
        <v>2.70970779</v>
      </c>
      <c r="R131" s="159">
        <f t="shared" si="114"/>
        <v>2.152701417</v>
      </c>
      <c r="S131" s="159">
        <f t="shared" si="114"/>
        <v>1.785644997</v>
      </c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60">
        <v>4.0</v>
      </c>
      <c r="C132" s="161" t="s">
        <v>28</v>
      </c>
      <c r="D132" s="156">
        <f t="shared" ref="D132:S132" si="115">$B132/HLOOKUP(D$130,INDIRECT(CONCATENATE("ChestValue", SUBSTITUTE($B$129," ",""))),7,FALSE)</f>
        <v>9.579681862</v>
      </c>
      <c r="E132" s="162">
        <f t="shared" si="115"/>
        <v>3.427093035</v>
      </c>
      <c r="F132" s="162">
        <f t="shared" si="115"/>
        <v>3.127190617</v>
      </c>
      <c r="G132" s="162">
        <f t="shared" si="115"/>
        <v>2.87555306</v>
      </c>
      <c r="H132" s="162">
        <f t="shared" si="115"/>
        <v>2.661396817</v>
      </c>
      <c r="I132" s="162">
        <f t="shared" si="115"/>
        <v>2.47692809</v>
      </c>
      <c r="J132" s="163">
        <f t="shared" si="115"/>
        <v>2.247478601</v>
      </c>
      <c r="K132" s="163">
        <f t="shared" si="115"/>
        <v>2.056935042</v>
      </c>
      <c r="L132" s="163">
        <f t="shared" si="115"/>
        <v>1.896175336</v>
      </c>
      <c r="M132" s="163">
        <f t="shared" si="115"/>
        <v>1.75872243</v>
      </c>
      <c r="N132" s="163">
        <f t="shared" si="115"/>
        <v>1.639850404</v>
      </c>
      <c r="O132" s="164">
        <f t="shared" si="115"/>
        <v>22.46367738</v>
      </c>
      <c r="P132" s="164">
        <f t="shared" si="115"/>
        <v>14.62232228</v>
      </c>
      <c r="Q132" s="164">
        <f t="shared" si="115"/>
        <v>10.83883116</v>
      </c>
      <c r="R132" s="164">
        <f t="shared" si="115"/>
        <v>8.61080567</v>
      </c>
      <c r="S132" s="164">
        <f t="shared" si="115"/>
        <v>7.142579986</v>
      </c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60">
        <v>7.0</v>
      </c>
      <c r="C133" s="161" t="s">
        <v>56</v>
      </c>
      <c r="D133" s="156">
        <f t="shared" ref="D133:S133" si="116">$B133/HLOOKUP(D$130,INDIRECT(CONCATENATE("ChestValue", SUBSTITUTE($B$129," ",""))),7,FALSE)</f>
        <v>16.76444326</v>
      </c>
      <c r="E133" s="157">
        <f t="shared" si="116"/>
        <v>5.997412812</v>
      </c>
      <c r="F133" s="157">
        <f t="shared" si="116"/>
        <v>5.472583579</v>
      </c>
      <c r="G133" s="157">
        <f t="shared" si="116"/>
        <v>5.032217855</v>
      </c>
      <c r="H133" s="157">
        <f t="shared" si="116"/>
        <v>4.657444431</v>
      </c>
      <c r="I133" s="157">
        <f t="shared" si="116"/>
        <v>4.334624158</v>
      </c>
      <c r="J133" s="158">
        <f t="shared" si="116"/>
        <v>3.933087552</v>
      </c>
      <c r="K133" s="158">
        <f t="shared" si="116"/>
        <v>3.599636323</v>
      </c>
      <c r="L133" s="158">
        <f t="shared" si="116"/>
        <v>3.318306838</v>
      </c>
      <c r="M133" s="158">
        <f t="shared" si="116"/>
        <v>3.077764252</v>
      </c>
      <c r="N133" s="158">
        <f t="shared" si="116"/>
        <v>2.869738207</v>
      </c>
      <c r="O133" s="159">
        <f t="shared" si="116"/>
        <v>39.31143541</v>
      </c>
      <c r="P133" s="159">
        <f t="shared" si="116"/>
        <v>25.589064</v>
      </c>
      <c r="Q133" s="159">
        <f t="shared" si="116"/>
        <v>18.96795453</v>
      </c>
      <c r="R133" s="159">
        <f t="shared" si="116"/>
        <v>15.06890992</v>
      </c>
      <c r="S133" s="159">
        <f t="shared" si="116"/>
        <v>12.49951498</v>
      </c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65">
        <v>19.0</v>
      </c>
      <c r="C134" s="166" t="s">
        <v>29</v>
      </c>
      <c r="D134" s="156">
        <f t="shared" ref="D134:S134" si="117">$B134/HLOOKUP(D$130,INDIRECT(CONCATENATE("ChestValue", SUBSTITUTE($B$129," ",""))),7,FALSE)</f>
        <v>45.50348884</v>
      </c>
      <c r="E134" s="162">
        <f t="shared" si="117"/>
        <v>16.27869192</v>
      </c>
      <c r="F134" s="162">
        <f t="shared" si="117"/>
        <v>14.85415543</v>
      </c>
      <c r="G134" s="162">
        <f t="shared" si="117"/>
        <v>13.65887704</v>
      </c>
      <c r="H134" s="162">
        <f t="shared" si="117"/>
        <v>12.64163488</v>
      </c>
      <c r="I134" s="162">
        <f t="shared" si="117"/>
        <v>11.76540843</v>
      </c>
      <c r="J134" s="163">
        <f t="shared" si="117"/>
        <v>10.67552335</v>
      </c>
      <c r="K134" s="163">
        <f t="shared" si="117"/>
        <v>9.770441448</v>
      </c>
      <c r="L134" s="163">
        <f t="shared" si="117"/>
        <v>9.006832847</v>
      </c>
      <c r="M134" s="163">
        <f t="shared" si="117"/>
        <v>8.353931542</v>
      </c>
      <c r="N134" s="163">
        <f t="shared" si="117"/>
        <v>7.789289418</v>
      </c>
      <c r="O134" s="164">
        <f t="shared" si="117"/>
        <v>106.7024675</v>
      </c>
      <c r="P134" s="164">
        <f t="shared" si="117"/>
        <v>69.45603085</v>
      </c>
      <c r="Q134" s="164">
        <f t="shared" si="117"/>
        <v>51.48444802</v>
      </c>
      <c r="R134" s="164">
        <f t="shared" si="117"/>
        <v>40.90132693</v>
      </c>
      <c r="S134" s="164">
        <f t="shared" si="117"/>
        <v>33.92725493</v>
      </c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65">
        <v>31.0</v>
      </c>
      <c r="C135" s="166" t="s">
        <v>57</v>
      </c>
      <c r="D135" s="156">
        <f t="shared" ref="D135:S135" si="118">$B135/HLOOKUP(D$130,INDIRECT(CONCATENATE("ChestValue", SUBSTITUTE($B$129," ",""))),7,FALSE)</f>
        <v>74.24253443</v>
      </c>
      <c r="E135" s="157">
        <f t="shared" si="118"/>
        <v>26.55997102</v>
      </c>
      <c r="F135" s="157">
        <f t="shared" si="118"/>
        <v>24.23572728</v>
      </c>
      <c r="G135" s="157">
        <f t="shared" si="118"/>
        <v>22.28553622</v>
      </c>
      <c r="H135" s="157">
        <f t="shared" si="118"/>
        <v>20.62582534</v>
      </c>
      <c r="I135" s="157">
        <f t="shared" si="118"/>
        <v>19.1961927</v>
      </c>
      <c r="J135" s="158">
        <f t="shared" si="118"/>
        <v>17.41795916</v>
      </c>
      <c r="K135" s="158">
        <f t="shared" si="118"/>
        <v>15.94124657</v>
      </c>
      <c r="L135" s="158">
        <f t="shared" si="118"/>
        <v>14.69535886</v>
      </c>
      <c r="M135" s="158">
        <f t="shared" si="118"/>
        <v>13.63009883</v>
      </c>
      <c r="N135" s="158">
        <f t="shared" si="118"/>
        <v>12.70884063</v>
      </c>
      <c r="O135" s="159">
        <f t="shared" si="118"/>
        <v>174.0934997</v>
      </c>
      <c r="P135" s="159">
        <f t="shared" si="118"/>
        <v>113.3229977</v>
      </c>
      <c r="Q135" s="159">
        <f t="shared" si="118"/>
        <v>84.0009415</v>
      </c>
      <c r="R135" s="159">
        <f t="shared" si="118"/>
        <v>66.73374394</v>
      </c>
      <c r="S135" s="159">
        <f t="shared" si="118"/>
        <v>55.35499489</v>
      </c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65">
        <v>43.0</v>
      </c>
      <c r="C136" s="166" t="s">
        <v>58</v>
      </c>
      <c r="D136" s="156">
        <f t="shared" ref="D136:S136" si="119">$B136/HLOOKUP(D$130,INDIRECT(CONCATENATE("ChestValue", SUBSTITUTE($B$129," ",""))),7,FALSE)</f>
        <v>102.98158</v>
      </c>
      <c r="E136" s="162">
        <f t="shared" si="119"/>
        <v>36.84125013</v>
      </c>
      <c r="F136" s="162">
        <f t="shared" si="119"/>
        <v>33.61729913</v>
      </c>
      <c r="G136" s="162">
        <f t="shared" si="119"/>
        <v>30.9121954</v>
      </c>
      <c r="H136" s="162">
        <f t="shared" si="119"/>
        <v>28.61001579</v>
      </c>
      <c r="I136" s="162">
        <f t="shared" si="119"/>
        <v>26.62697697</v>
      </c>
      <c r="J136" s="163">
        <f t="shared" si="119"/>
        <v>24.16039496</v>
      </c>
      <c r="K136" s="163">
        <f t="shared" si="119"/>
        <v>22.1120517</v>
      </c>
      <c r="L136" s="163">
        <f t="shared" si="119"/>
        <v>20.38388486</v>
      </c>
      <c r="M136" s="163">
        <f t="shared" si="119"/>
        <v>18.90626612</v>
      </c>
      <c r="N136" s="163">
        <f t="shared" si="119"/>
        <v>17.62839184</v>
      </c>
      <c r="O136" s="164">
        <f t="shared" si="119"/>
        <v>241.4845318</v>
      </c>
      <c r="P136" s="164">
        <f t="shared" si="119"/>
        <v>157.1899646</v>
      </c>
      <c r="Q136" s="164">
        <f t="shared" si="119"/>
        <v>116.517435</v>
      </c>
      <c r="R136" s="164">
        <f t="shared" si="119"/>
        <v>92.56616095</v>
      </c>
      <c r="S136" s="164">
        <f t="shared" si="119"/>
        <v>76.78273485</v>
      </c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67">
        <v>100.0</v>
      </c>
      <c r="C137" s="168" t="s">
        <v>31</v>
      </c>
      <c r="D137" s="156">
        <f t="shared" ref="D137:S137" si="120">$B137/HLOOKUP(D$130,INDIRECT(CONCATENATE("ChestValue", SUBSTITUTE($B$129," ",""))),7,FALSE)</f>
        <v>239.4920465</v>
      </c>
      <c r="E137" s="157">
        <f t="shared" si="120"/>
        <v>85.67732588</v>
      </c>
      <c r="F137" s="157">
        <f t="shared" si="120"/>
        <v>78.17976542</v>
      </c>
      <c r="G137" s="157">
        <f t="shared" si="120"/>
        <v>71.8888265</v>
      </c>
      <c r="H137" s="157">
        <f t="shared" si="120"/>
        <v>66.53492044</v>
      </c>
      <c r="I137" s="157">
        <f t="shared" si="120"/>
        <v>61.92320226</v>
      </c>
      <c r="J137" s="158">
        <f t="shared" si="120"/>
        <v>56.18696502</v>
      </c>
      <c r="K137" s="158">
        <f t="shared" si="120"/>
        <v>51.42337604</v>
      </c>
      <c r="L137" s="158">
        <f t="shared" si="120"/>
        <v>47.4043834</v>
      </c>
      <c r="M137" s="158">
        <f t="shared" si="120"/>
        <v>43.96806075</v>
      </c>
      <c r="N137" s="158">
        <f t="shared" si="120"/>
        <v>40.99626009</v>
      </c>
      <c r="O137" s="159">
        <f t="shared" si="120"/>
        <v>561.5919344</v>
      </c>
      <c r="P137" s="159">
        <f t="shared" si="120"/>
        <v>365.5580571</v>
      </c>
      <c r="Q137" s="159">
        <f t="shared" si="120"/>
        <v>270.970779</v>
      </c>
      <c r="R137" s="159">
        <f t="shared" si="120"/>
        <v>215.2701417</v>
      </c>
      <c r="S137" s="159">
        <f t="shared" si="120"/>
        <v>178.5644997</v>
      </c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67">
        <v>157.0</v>
      </c>
      <c r="C138" s="168" t="s">
        <v>59</v>
      </c>
      <c r="D138" s="156">
        <f t="shared" ref="D138:S138" si="121">$B138/HLOOKUP(D$130,INDIRECT(CONCATENATE("ChestValue", SUBSTITUTE($B$129," ",""))),7,FALSE)</f>
        <v>376.0025131</v>
      </c>
      <c r="E138" s="162">
        <f t="shared" si="121"/>
        <v>134.5134016</v>
      </c>
      <c r="F138" s="162">
        <f t="shared" si="121"/>
        <v>122.7422317</v>
      </c>
      <c r="G138" s="162">
        <f t="shared" si="121"/>
        <v>112.8654576</v>
      </c>
      <c r="H138" s="162">
        <f t="shared" si="121"/>
        <v>104.4598251</v>
      </c>
      <c r="I138" s="162">
        <f t="shared" si="121"/>
        <v>97.21942754</v>
      </c>
      <c r="J138" s="163">
        <f t="shared" si="121"/>
        <v>88.21353509</v>
      </c>
      <c r="K138" s="163">
        <f t="shared" si="121"/>
        <v>80.73470038</v>
      </c>
      <c r="L138" s="163">
        <f t="shared" si="121"/>
        <v>74.42488195</v>
      </c>
      <c r="M138" s="163">
        <f t="shared" si="121"/>
        <v>69.02985537</v>
      </c>
      <c r="N138" s="163">
        <f t="shared" si="121"/>
        <v>64.36412835</v>
      </c>
      <c r="O138" s="164">
        <f t="shared" si="121"/>
        <v>881.699337</v>
      </c>
      <c r="P138" s="164">
        <f t="shared" si="121"/>
        <v>573.9261497</v>
      </c>
      <c r="Q138" s="164">
        <f t="shared" si="121"/>
        <v>425.4241231</v>
      </c>
      <c r="R138" s="164">
        <f t="shared" si="121"/>
        <v>337.9741225</v>
      </c>
      <c r="S138" s="164">
        <f t="shared" si="121"/>
        <v>280.3462645</v>
      </c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67">
        <v>214.0</v>
      </c>
      <c r="C139" s="168" t="s">
        <v>60</v>
      </c>
      <c r="D139" s="156">
        <f t="shared" ref="D139:S139" si="122">$B139/HLOOKUP(D$130,INDIRECT(CONCATENATE("ChestValue", SUBSTITUTE($B$129," ",""))),7,FALSE)</f>
        <v>512.5129796</v>
      </c>
      <c r="E139" s="157">
        <f t="shared" si="122"/>
        <v>183.3494774</v>
      </c>
      <c r="F139" s="157">
        <f t="shared" si="122"/>
        <v>167.304698</v>
      </c>
      <c r="G139" s="157">
        <f t="shared" si="122"/>
        <v>153.8420887</v>
      </c>
      <c r="H139" s="157">
        <f t="shared" si="122"/>
        <v>142.3847297</v>
      </c>
      <c r="I139" s="157">
        <f t="shared" si="122"/>
        <v>132.5156528</v>
      </c>
      <c r="J139" s="158">
        <f t="shared" si="122"/>
        <v>120.2401052</v>
      </c>
      <c r="K139" s="158">
        <f t="shared" si="122"/>
        <v>110.0460247</v>
      </c>
      <c r="L139" s="158">
        <f t="shared" si="122"/>
        <v>101.4453805</v>
      </c>
      <c r="M139" s="158">
        <f t="shared" si="122"/>
        <v>94.09164999</v>
      </c>
      <c r="N139" s="158">
        <f t="shared" si="122"/>
        <v>87.7319966</v>
      </c>
      <c r="O139" s="159">
        <f t="shared" si="122"/>
        <v>1201.80674</v>
      </c>
      <c r="P139" s="159">
        <f t="shared" si="122"/>
        <v>782.2942422</v>
      </c>
      <c r="Q139" s="159">
        <f t="shared" si="122"/>
        <v>579.8774672</v>
      </c>
      <c r="R139" s="159">
        <f t="shared" si="122"/>
        <v>460.6781033</v>
      </c>
      <c r="S139" s="159">
        <f t="shared" si="122"/>
        <v>382.1280293</v>
      </c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67">
        <v>271.0</v>
      </c>
      <c r="C140" s="168" t="s">
        <v>61</v>
      </c>
      <c r="D140" s="156">
        <f t="shared" ref="D140:S140" si="123">$B140/HLOOKUP(D$130,INDIRECT(CONCATENATE("ChestValue", SUBSTITUTE($B$129," ",""))),7,FALSE)</f>
        <v>649.0234461</v>
      </c>
      <c r="E140" s="162">
        <f t="shared" si="123"/>
        <v>232.1855531</v>
      </c>
      <c r="F140" s="162">
        <f t="shared" si="123"/>
        <v>211.8671643</v>
      </c>
      <c r="G140" s="162">
        <f t="shared" si="123"/>
        <v>194.8187198</v>
      </c>
      <c r="H140" s="162">
        <f t="shared" si="123"/>
        <v>180.3096344</v>
      </c>
      <c r="I140" s="162">
        <f t="shared" si="123"/>
        <v>167.8118781</v>
      </c>
      <c r="J140" s="163">
        <f t="shared" si="123"/>
        <v>152.2666752</v>
      </c>
      <c r="K140" s="163">
        <f t="shared" si="123"/>
        <v>139.3573491</v>
      </c>
      <c r="L140" s="163">
        <f t="shared" si="123"/>
        <v>128.465879</v>
      </c>
      <c r="M140" s="163">
        <f t="shared" si="123"/>
        <v>119.1534446</v>
      </c>
      <c r="N140" s="163">
        <f t="shared" si="123"/>
        <v>111.0998649</v>
      </c>
      <c r="O140" s="164">
        <f t="shared" si="123"/>
        <v>1521.914142</v>
      </c>
      <c r="P140" s="164">
        <f t="shared" si="123"/>
        <v>990.6623347</v>
      </c>
      <c r="Q140" s="164">
        <f t="shared" si="123"/>
        <v>734.3308112</v>
      </c>
      <c r="R140" s="164">
        <f t="shared" si="123"/>
        <v>583.3820841</v>
      </c>
      <c r="S140" s="164">
        <f t="shared" si="123"/>
        <v>483.9097941</v>
      </c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69">
        <v>571.0</v>
      </c>
      <c r="C141" s="170" t="s">
        <v>32</v>
      </c>
      <c r="D141" s="156">
        <f t="shared" ref="D141:S141" si="124">$B141/HLOOKUP(D$130,INDIRECT(CONCATENATE("ChestValue", SUBSTITUTE($B$129," ",""))),7,FALSE)</f>
        <v>1367.499586</v>
      </c>
      <c r="E141" s="157">
        <f t="shared" si="124"/>
        <v>489.2175308</v>
      </c>
      <c r="F141" s="157">
        <f t="shared" si="124"/>
        <v>446.4064605</v>
      </c>
      <c r="G141" s="157">
        <f t="shared" si="124"/>
        <v>410.4851993</v>
      </c>
      <c r="H141" s="157">
        <f t="shared" si="124"/>
        <v>379.9143957</v>
      </c>
      <c r="I141" s="157">
        <f t="shared" si="124"/>
        <v>353.5814849</v>
      </c>
      <c r="J141" s="158">
        <f t="shared" si="124"/>
        <v>320.8275703</v>
      </c>
      <c r="K141" s="158">
        <f t="shared" si="124"/>
        <v>293.6274772</v>
      </c>
      <c r="L141" s="158">
        <f t="shared" si="124"/>
        <v>270.6790292</v>
      </c>
      <c r="M141" s="158">
        <f t="shared" si="124"/>
        <v>251.0576269</v>
      </c>
      <c r="N141" s="158">
        <f t="shared" si="124"/>
        <v>234.0886451</v>
      </c>
      <c r="O141" s="159">
        <f t="shared" si="124"/>
        <v>3206.689945</v>
      </c>
      <c r="P141" s="159">
        <f t="shared" si="124"/>
        <v>2087.336506</v>
      </c>
      <c r="Q141" s="159">
        <f t="shared" si="124"/>
        <v>1547.243148</v>
      </c>
      <c r="R141" s="159">
        <f t="shared" si="124"/>
        <v>1229.192509</v>
      </c>
      <c r="S141" s="159">
        <f t="shared" si="124"/>
        <v>1019.603293</v>
      </c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69">
        <v>871.0</v>
      </c>
      <c r="C142" s="170" t="s">
        <v>62</v>
      </c>
      <c r="D142" s="156">
        <f t="shared" ref="D142:S142" si="125">$B142/HLOOKUP(D$130,INDIRECT(CONCATENATE("ChestValue", SUBSTITUTE($B$129," ",""))),7,FALSE)</f>
        <v>2085.975725</v>
      </c>
      <c r="E142" s="162">
        <f t="shared" si="125"/>
        <v>746.2495085</v>
      </c>
      <c r="F142" s="162">
        <f t="shared" si="125"/>
        <v>680.9457568</v>
      </c>
      <c r="G142" s="162">
        <f t="shared" si="125"/>
        <v>626.1516788</v>
      </c>
      <c r="H142" s="162">
        <f t="shared" si="125"/>
        <v>579.519157</v>
      </c>
      <c r="I142" s="162">
        <f t="shared" si="125"/>
        <v>539.3510916</v>
      </c>
      <c r="J142" s="163">
        <f t="shared" si="125"/>
        <v>489.3884654</v>
      </c>
      <c r="K142" s="163">
        <f t="shared" si="125"/>
        <v>447.8976053</v>
      </c>
      <c r="L142" s="163">
        <f t="shared" si="125"/>
        <v>412.8921795</v>
      </c>
      <c r="M142" s="163">
        <f t="shared" si="125"/>
        <v>382.9618091</v>
      </c>
      <c r="N142" s="163">
        <f t="shared" si="125"/>
        <v>357.0774254</v>
      </c>
      <c r="O142" s="164">
        <f t="shared" si="125"/>
        <v>4891.465749</v>
      </c>
      <c r="P142" s="164">
        <f t="shared" si="125"/>
        <v>3184.010677</v>
      </c>
      <c r="Q142" s="164">
        <f t="shared" si="125"/>
        <v>2360.155486</v>
      </c>
      <c r="R142" s="164">
        <f t="shared" si="125"/>
        <v>1875.002935</v>
      </c>
      <c r="S142" s="164">
        <f t="shared" si="125"/>
        <v>1555.296792</v>
      </c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69">
        <v>1171.0</v>
      </c>
      <c r="C143" s="170" t="s">
        <v>63</v>
      </c>
      <c r="D143" s="156">
        <f t="shared" ref="D143:S143" si="126">$B143/HLOOKUP(D$130,INDIRECT(CONCATENATE("ChestValue", SUBSTITUTE($B$129," ",""))),7,FALSE)</f>
        <v>2804.451865</v>
      </c>
      <c r="E143" s="157">
        <f t="shared" si="126"/>
        <v>1003.281486</v>
      </c>
      <c r="F143" s="157">
        <f t="shared" si="126"/>
        <v>915.485053</v>
      </c>
      <c r="G143" s="157">
        <f t="shared" si="126"/>
        <v>841.8181583</v>
      </c>
      <c r="H143" s="157">
        <f t="shared" si="126"/>
        <v>779.1239183</v>
      </c>
      <c r="I143" s="157">
        <f t="shared" si="126"/>
        <v>725.1206984</v>
      </c>
      <c r="J143" s="158">
        <f t="shared" si="126"/>
        <v>657.9493604</v>
      </c>
      <c r="K143" s="158">
        <f t="shared" si="126"/>
        <v>602.1677334</v>
      </c>
      <c r="L143" s="158">
        <f t="shared" si="126"/>
        <v>555.1053297</v>
      </c>
      <c r="M143" s="158">
        <f t="shared" si="126"/>
        <v>514.8659913</v>
      </c>
      <c r="N143" s="158">
        <f t="shared" si="126"/>
        <v>480.0662057</v>
      </c>
      <c r="O143" s="159">
        <f t="shared" si="126"/>
        <v>6576.241552</v>
      </c>
      <c r="P143" s="159">
        <f t="shared" si="126"/>
        <v>4280.684849</v>
      </c>
      <c r="Q143" s="159">
        <f t="shared" si="126"/>
        <v>3173.067823</v>
      </c>
      <c r="R143" s="159">
        <f t="shared" si="126"/>
        <v>2520.81336</v>
      </c>
      <c r="S143" s="159">
        <f t="shared" si="126"/>
        <v>2090.990291</v>
      </c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69">
        <v>1471.0</v>
      </c>
      <c r="C144" s="170" t="s">
        <v>64</v>
      </c>
      <c r="D144" s="156">
        <f t="shared" ref="D144:S144" si="127">$B144/HLOOKUP(D$130,INDIRECT(CONCATENATE("ChestValue", SUBSTITUTE($B$129," ",""))),7,FALSE)</f>
        <v>3522.928005</v>
      </c>
      <c r="E144" s="162">
        <f t="shared" si="127"/>
        <v>1260.313464</v>
      </c>
      <c r="F144" s="162">
        <f t="shared" si="127"/>
        <v>1150.024349</v>
      </c>
      <c r="G144" s="162">
        <f t="shared" si="127"/>
        <v>1057.484638</v>
      </c>
      <c r="H144" s="162">
        <f t="shared" si="127"/>
        <v>978.7286796</v>
      </c>
      <c r="I144" s="162">
        <f t="shared" si="127"/>
        <v>910.8903052</v>
      </c>
      <c r="J144" s="163">
        <f t="shared" si="127"/>
        <v>826.5102555</v>
      </c>
      <c r="K144" s="163">
        <f t="shared" si="127"/>
        <v>756.4378615</v>
      </c>
      <c r="L144" s="163">
        <f t="shared" si="127"/>
        <v>697.3184799</v>
      </c>
      <c r="M144" s="163">
        <f t="shared" si="127"/>
        <v>646.7701736</v>
      </c>
      <c r="N144" s="163">
        <f t="shared" si="127"/>
        <v>603.054986</v>
      </c>
      <c r="O144" s="164">
        <f t="shared" si="127"/>
        <v>8261.017355</v>
      </c>
      <c r="P144" s="164">
        <f t="shared" si="127"/>
        <v>5377.35902</v>
      </c>
      <c r="Q144" s="164">
        <f t="shared" si="127"/>
        <v>3985.98016</v>
      </c>
      <c r="R144" s="164">
        <f t="shared" si="127"/>
        <v>3166.623785</v>
      </c>
      <c r="S144" s="164">
        <f t="shared" si="127"/>
        <v>2626.68379</v>
      </c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69">
        <v>1771.0</v>
      </c>
      <c r="C145" s="170" t="s">
        <v>65</v>
      </c>
      <c r="D145" s="156">
        <f t="shared" ref="D145:S145" si="128">$B145/HLOOKUP(D$130,INDIRECT(CONCATENATE("ChestValue", SUBSTITUTE($B$129," ",""))),7,FALSE)</f>
        <v>4241.404144</v>
      </c>
      <c r="E145" s="157">
        <f t="shared" si="128"/>
        <v>1517.345441</v>
      </c>
      <c r="F145" s="157">
        <f t="shared" si="128"/>
        <v>1384.563646</v>
      </c>
      <c r="G145" s="157">
        <f t="shared" si="128"/>
        <v>1273.151117</v>
      </c>
      <c r="H145" s="157">
        <f t="shared" si="128"/>
        <v>1178.333441</v>
      </c>
      <c r="I145" s="157">
        <f t="shared" si="128"/>
        <v>1096.659912</v>
      </c>
      <c r="J145" s="158">
        <f t="shared" si="128"/>
        <v>995.0711506</v>
      </c>
      <c r="K145" s="158">
        <f t="shared" si="128"/>
        <v>910.7079897</v>
      </c>
      <c r="L145" s="158">
        <f t="shared" si="128"/>
        <v>839.5316301</v>
      </c>
      <c r="M145" s="158">
        <f t="shared" si="128"/>
        <v>778.6743558</v>
      </c>
      <c r="N145" s="158">
        <f t="shared" si="128"/>
        <v>726.0437662</v>
      </c>
      <c r="O145" s="159">
        <f t="shared" si="128"/>
        <v>9945.793158</v>
      </c>
      <c r="P145" s="159">
        <f t="shared" si="128"/>
        <v>6474.033191</v>
      </c>
      <c r="Q145" s="159">
        <f t="shared" si="128"/>
        <v>4798.892497</v>
      </c>
      <c r="R145" s="159">
        <f t="shared" si="128"/>
        <v>3812.43421</v>
      </c>
      <c r="S145" s="159">
        <f t="shared" si="128"/>
        <v>3162.377289</v>
      </c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71">
        <v>3484.0</v>
      </c>
      <c r="C146" s="172" t="s">
        <v>33</v>
      </c>
      <c r="D146" s="156">
        <f t="shared" ref="D146:S146" si="129">$B146/HLOOKUP(D$130,INDIRECT(CONCATENATE("ChestValue", SUBSTITUTE($B$129," ",""))),7,FALSE)</f>
        <v>8343.902902</v>
      </c>
      <c r="E146" s="162">
        <f t="shared" si="129"/>
        <v>2984.998034</v>
      </c>
      <c r="F146" s="162">
        <f t="shared" si="129"/>
        <v>2723.783027</v>
      </c>
      <c r="G146" s="162">
        <f t="shared" si="129"/>
        <v>2504.606715</v>
      </c>
      <c r="H146" s="162">
        <f t="shared" si="129"/>
        <v>2318.076628</v>
      </c>
      <c r="I146" s="162">
        <f t="shared" si="129"/>
        <v>2157.404367</v>
      </c>
      <c r="J146" s="163">
        <f t="shared" si="129"/>
        <v>1957.553861</v>
      </c>
      <c r="K146" s="163">
        <f t="shared" si="129"/>
        <v>1791.590421</v>
      </c>
      <c r="L146" s="163">
        <f t="shared" si="129"/>
        <v>1651.568718</v>
      </c>
      <c r="M146" s="163">
        <f t="shared" si="129"/>
        <v>1531.847236</v>
      </c>
      <c r="N146" s="163">
        <f t="shared" si="129"/>
        <v>1428.309702</v>
      </c>
      <c r="O146" s="164">
        <f t="shared" si="129"/>
        <v>19565.86299</v>
      </c>
      <c r="P146" s="164">
        <f t="shared" si="129"/>
        <v>12736.04271</v>
      </c>
      <c r="Q146" s="164">
        <f t="shared" si="129"/>
        <v>9440.621942</v>
      </c>
      <c r="R146" s="164">
        <f t="shared" si="129"/>
        <v>7500.011738</v>
      </c>
      <c r="S146" s="164">
        <f t="shared" si="129"/>
        <v>6221.187168</v>
      </c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71">
        <v>5197.0</v>
      </c>
      <c r="C147" s="172" t="s">
        <v>66</v>
      </c>
      <c r="D147" s="156">
        <f t="shared" ref="D147:S147" si="130">$B147/HLOOKUP(D$130,INDIRECT(CONCATENATE("ChestValue", SUBSTITUTE($B$129," ",""))),7,FALSE)</f>
        <v>12446.40166</v>
      </c>
      <c r="E147" s="157">
        <f t="shared" si="130"/>
        <v>4452.650626</v>
      </c>
      <c r="F147" s="157">
        <f t="shared" si="130"/>
        <v>4063.002409</v>
      </c>
      <c r="G147" s="157">
        <f t="shared" si="130"/>
        <v>3736.062313</v>
      </c>
      <c r="H147" s="157">
        <f t="shared" si="130"/>
        <v>3457.819815</v>
      </c>
      <c r="I147" s="157">
        <f t="shared" si="130"/>
        <v>3218.148821</v>
      </c>
      <c r="J147" s="158">
        <f t="shared" si="130"/>
        <v>2920.036572</v>
      </c>
      <c r="K147" s="158">
        <f t="shared" si="130"/>
        <v>2672.472853</v>
      </c>
      <c r="L147" s="158">
        <f t="shared" si="130"/>
        <v>2463.605806</v>
      </c>
      <c r="M147" s="158">
        <f t="shared" si="130"/>
        <v>2285.020117</v>
      </c>
      <c r="N147" s="158">
        <f t="shared" si="130"/>
        <v>2130.575637</v>
      </c>
      <c r="O147" s="159">
        <f t="shared" si="130"/>
        <v>29185.93283</v>
      </c>
      <c r="P147" s="159">
        <f t="shared" si="130"/>
        <v>18998.05223</v>
      </c>
      <c r="Q147" s="159">
        <f t="shared" si="130"/>
        <v>14082.35139</v>
      </c>
      <c r="R147" s="159">
        <f t="shared" si="130"/>
        <v>11187.58927</v>
      </c>
      <c r="S147" s="159">
        <f t="shared" si="130"/>
        <v>9279.997047</v>
      </c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71">
        <v>6910.0</v>
      </c>
      <c r="C148" s="172" t="s">
        <v>67</v>
      </c>
      <c r="D148" s="156">
        <f t="shared" ref="D148:S148" si="131">$B148/HLOOKUP(D$130,INDIRECT(CONCATENATE("ChestValue", SUBSTITUTE($B$129," ",""))),7,FALSE)</f>
        <v>16548.90042</v>
      </c>
      <c r="E148" s="162">
        <f t="shared" si="131"/>
        <v>5920.303219</v>
      </c>
      <c r="F148" s="162">
        <f t="shared" si="131"/>
        <v>5402.22179</v>
      </c>
      <c r="G148" s="162">
        <f t="shared" si="131"/>
        <v>4967.517911</v>
      </c>
      <c r="H148" s="162">
        <f t="shared" si="131"/>
        <v>4597.563002</v>
      </c>
      <c r="I148" s="162">
        <f t="shared" si="131"/>
        <v>4278.893276</v>
      </c>
      <c r="J148" s="163">
        <f t="shared" si="131"/>
        <v>3882.519283</v>
      </c>
      <c r="K148" s="163">
        <f t="shared" si="131"/>
        <v>3553.355284</v>
      </c>
      <c r="L148" s="163">
        <f t="shared" si="131"/>
        <v>3275.642893</v>
      </c>
      <c r="M148" s="163">
        <f t="shared" si="131"/>
        <v>3038.192997</v>
      </c>
      <c r="N148" s="163">
        <f t="shared" si="131"/>
        <v>2832.841572</v>
      </c>
      <c r="O148" s="164">
        <f t="shared" si="131"/>
        <v>38806.00267</v>
      </c>
      <c r="P148" s="164">
        <f t="shared" si="131"/>
        <v>25260.06175</v>
      </c>
      <c r="Q148" s="164">
        <f t="shared" si="131"/>
        <v>18724.08083</v>
      </c>
      <c r="R148" s="164">
        <f t="shared" si="131"/>
        <v>14875.16679</v>
      </c>
      <c r="S148" s="164">
        <f t="shared" si="131"/>
        <v>12338.80693</v>
      </c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71">
        <v>8623.0</v>
      </c>
      <c r="C149" s="172" t="s">
        <v>68</v>
      </c>
      <c r="D149" s="156">
        <f t="shared" ref="D149:S149" si="132">$B149/HLOOKUP(D$130,INDIRECT(CONCATENATE("ChestValue", SUBSTITUTE($B$129," ",""))),7,FALSE)</f>
        <v>20651.39917</v>
      </c>
      <c r="E149" s="157">
        <f t="shared" si="132"/>
        <v>7387.955811</v>
      </c>
      <c r="F149" s="157">
        <f t="shared" si="132"/>
        <v>6741.441172</v>
      </c>
      <c r="G149" s="157">
        <f t="shared" si="132"/>
        <v>6198.973509</v>
      </c>
      <c r="H149" s="157">
        <f t="shared" si="132"/>
        <v>5737.306189</v>
      </c>
      <c r="I149" s="157">
        <f t="shared" si="132"/>
        <v>5339.637731</v>
      </c>
      <c r="J149" s="158">
        <f t="shared" si="132"/>
        <v>4845.001994</v>
      </c>
      <c r="K149" s="158">
        <f t="shared" si="132"/>
        <v>4434.237716</v>
      </c>
      <c r="L149" s="158">
        <f t="shared" si="132"/>
        <v>4087.679981</v>
      </c>
      <c r="M149" s="158">
        <f t="shared" si="132"/>
        <v>3791.365878</v>
      </c>
      <c r="N149" s="158">
        <f t="shared" si="132"/>
        <v>3535.107508</v>
      </c>
      <c r="O149" s="159">
        <f t="shared" si="132"/>
        <v>48426.0725</v>
      </c>
      <c r="P149" s="159">
        <f t="shared" si="132"/>
        <v>31522.07126</v>
      </c>
      <c r="Q149" s="159">
        <f t="shared" si="132"/>
        <v>23365.81028</v>
      </c>
      <c r="R149" s="159">
        <f t="shared" si="132"/>
        <v>18562.74432</v>
      </c>
      <c r="S149" s="159">
        <f t="shared" si="132"/>
        <v>15397.61681</v>
      </c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71">
        <v>10336.0</v>
      </c>
      <c r="C150" s="172" t="s">
        <v>69</v>
      </c>
      <c r="D150" s="156">
        <f t="shared" ref="D150:S150" si="133">$B150/HLOOKUP(D$130,INDIRECT(CONCATENATE("ChestValue", SUBSTITUTE($B$129," ",""))),7,FALSE)</f>
        <v>24753.89793</v>
      </c>
      <c r="E150" s="162">
        <f t="shared" si="133"/>
        <v>8855.608403</v>
      </c>
      <c r="F150" s="162">
        <f t="shared" si="133"/>
        <v>8080.660554</v>
      </c>
      <c r="G150" s="162">
        <f t="shared" si="133"/>
        <v>7430.429107</v>
      </c>
      <c r="H150" s="162">
        <f t="shared" si="133"/>
        <v>6877.049376</v>
      </c>
      <c r="I150" s="162">
        <f t="shared" si="133"/>
        <v>6400.382185</v>
      </c>
      <c r="J150" s="163">
        <f t="shared" si="133"/>
        <v>5807.484705</v>
      </c>
      <c r="K150" s="163">
        <f t="shared" si="133"/>
        <v>5315.120147</v>
      </c>
      <c r="L150" s="163">
        <f t="shared" si="133"/>
        <v>4899.717069</v>
      </c>
      <c r="M150" s="163">
        <f t="shared" si="133"/>
        <v>4544.538759</v>
      </c>
      <c r="N150" s="163">
        <f t="shared" si="133"/>
        <v>4237.373443</v>
      </c>
      <c r="O150" s="164">
        <f t="shared" si="133"/>
        <v>58046.14234</v>
      </c>
      <c r="P150" s="164">
        <f t="shared" si="133"/>
        <v>37784.08078</v>
      </c>
      <c r="Q150" s="164">
        <f t="shared" si="133"/>
        <v>28007.53972</v>
      </c>
      <c r="R150" s="164">
        <f t="shared" si="133"/>
        <v>22250.32185</v>
      </c>
      <c r="S150" s="164">
        <f t="shared" si="133"/>
        <v>18456.42668</v>
      </c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71">
        <v>12049.0</v>
      </c>
      <c r="C151" s="172" t="s">
        <v>70</v>
      </c>
      <c r="D151" s="156">
        <f t="shared" ref="D151:S151" si="134">$B151/HLOOKUP(D$130,INDIRECT(CONCATENATE("ChestValue", SUBSTITUTE($B$129," ",""))),7,FALSE)</f>
        <v>28856.39669</v>
      </c>
      <c r="E151" s="157">
        <f t="shared" si="134"/>
        <v>10323.261</v>
      </c>
      <c r="F151" s="157">
        <f t="shared" si="134"/>
        <v>9419.879935</v>
      </c>
      <c r="G151" s="157">
        <f t="shared" si="134"/>
        <v>8661.884705</v>
      </c>
      <c r="H151" s="157">
        <f t="shared" si="134"/>
        <v>8016.792563</v>
      </c>
      <c r="I151" s="157">
        <f t="shared" si="134"/>
        <v>7461.12664</v>
      </c>
      <c r="J151" s="158">
        <f t="shared" si="134"/>
        <v>6769.967416</v>
      </c>
      <c r="K151" s="158">
        <f t="shared" si="134"/>
        <v>6196.002579</v>
      </c>
      <c r="L151" s="158">
        <f t="shared" si="134"/>
        <v>5711.754156</v>
      </c>
      <c r="M151" s="158">
        <f t="shared" si="134"/>
        <v>5297.711639</v>
      </c>
      <c r="N151" s="158">
        <f t="shared" si="134"/>
        <v>4939.639379</v>
      </c>
      <c r="O151" s="159">
        <f t="shared" si="134"/>
        <v>67666.21218</v>
      </c>
      <c r="P151" s="159">
        <f t="shared" si="134"/>
        <v>44046.0903</v>
      </c>
      <c r="Q151" s="159">
        <f t="shared" si="134"/>
        <v>32649.26917</v>
      </c>
      <c r="R151" s="159">
        <f t="shared" si="134"/>
        <v>25937.89938</v>
      </c>
      <c r="S151" s="159">
        <f t="shared" si="134"/>
        <v>21515.23656</v>
      </c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48"/>
      <c r="C152" s="14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10" t="s">
        <v>52</v>
      </c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10" t="s">
        <v>45</v>
      </c>
      <c r="D154" s="173"/>
      <c r="E154" s="150" t="s">
        <v>53</v>
      </c>
      <c r="J154" s="151" t="s">
        <v>54</v>
      </c>
      <c r="O154" s="152" t="s">
        <v>55</v>
      </c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D155" s="149">
        <v>5.0</v>
      </c>
      <c r="E155" s="39">
        <v>6.0</v>
      </c>
      <c r="F155" s="39">
        <v>7.0</v>
      </c>
      <c r="G155" s="39">
        <v>8.0</v>
      </c>
      <c r="H155" s="39">
        <v>9.0</v>
      </c>
      <c r="I155" s="39">
        <v>10.0</v>
      </c>
      <c r="J155" s="40">
        <v>11.0</v>
      </c>
      <c r="K155" s="40">
        <v>12.0</v>
      </c>
      <c r="L155" s="40">
        <v>13.0</v>
      </c>
      <c r="M155" s="40">
        <v>14.0</v>
      </c>
      <c r="N155" s="40">
        <v>15.0</v>
      </c>
      <c r="O155" s="153">
        <v>16.0</v>
      </c>
      <c r="P155" s="153">
        <v>17.0</v>
      </c>
      <c r="Q155" s="153">
        <v>18.0</v>
      </c>
      <c r="R155" s="153">
        <v>19.0</v>
      </c>
      <c r="S155" s="153">
        <v>20.0</v>
      </c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54">
        <v>1.0</v>
      </c>
      <c r="C156" s="155" t="s">
        <v>27</v>
      </c>
      <c r="D156" s="156"/>
      <c r="E156" s="174">
        <f t="shared" ref="E156:S156" si="135">$B156/HLOOKUP(E$155,INDIRECT(CONCATENATE("ChestValue", SUBSTITUTE($B$154," ",""))),7,FALSE)</f>
        <v>4.568412114</v>
      </c>
      <c r="F156" s="174">
        <f t="shared" si="135"/>
        <v>4.060472619</v>
      </c>
      <c r="G156" s="174">
        <f t="shared" si="135"/>
        <v>3.654181926</v>
      </c>
      <c r="H156" s="174">
        <f t="shared" si="135"/>
        <v>3.321802526</v>
      </c>
      <c r="I156" s="174">
        <f t="shared" si="135"/>
        <v>3.044847367</v>
      </c>
      <c r="J156" s="175">
        <f t="shared" si="135"/>
        <v>2.266265709</v>
      </c>
      <c r="K156" s="175">
        <f t="shared" si="135"/>
        <v>2.03684301</v>
      </c>
      <c r="L156" s="175">
        <f t="shared" si="135"/>
        <v>1.849600878</v>
      </c>
      <c r="M156" s="175">
        <f t="shared" si="135"/>
        <v>1.69388597</v>
      </c>
      <c r="N156" s="175">
        <f t="shared" si="135"/>
        <v>1.562353919</v>
      </c>
      <c r="O156" s="159">
        <f t="shared" si="135"/>
        <v>5.614676264</v>
      </c>
      <c r="P156" s="159">
        <f t="shared" si="135"/>
        <v>3.654527225</v>
      </c>
      <c r="Q156" s="159">
        <f t="shared" si="135"/>
        <v>2.708839669</v>
      </c>
      <c r="R156" s="159">
        <f t="shared" si="135"/>
        <v>2.151970895</v>
      </c>
      <c r="S156" s="159">
        <f t="shared" si="135"/>
        <v>1.785016705</v>
      </c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60">
        <v>4.0</v>
      </c>
      <c r="C157" s="161" t="s">
        <v>28</v>
      </c>
      <c r="D157" s="156"/>
      <c r="E157" s="176">
        <f t="shared" ref="E157:S157" si="136">$B157/HLOOKUP(E$155,INDIRECT(CONCATENATE("ChestValue", SUBSTITUTE($B$154," ",""))),7,FALSE)</f>
        <v>18.27364846</v>
      </c>
      <c r="F157" s="176">
        <f t="shared" si="136"/>
        <v>16.24189047</v>
      </c>
      <c r="G157" s="176">
        <f t="shared" si="136"/>
        <v>14.6167277</v>
      </c>
      <c r="H157" s="176">
        <f t="shared" si="136"/>
        <v>13.28721011</v>
      </c>
      <c r="I157" s="176">
        <f t="shared" si="136"/>
        <v>12.17938947</v>
      </c>
      <c r="J157" s="177">
        <f t="shared" si="136"/>
        <v>9.065062835</v>
      </c>
      <c r="K157" s="177">
        <f t="shared" si="136"/>
        <v>8.147372041</v>
      </c>
      <c r="L157" s="177">
        <f t="shared" si="136"/>
        <v>7.398403511</v>
      </c>
      <c r="M157" s="177">
        <f t="shared" si="136"/>
        <v>6.77554388</v>
      </c>
      <c r="N157" s="177">
        <f t="shared" si="136"/>
        <v>6.249415677</v>
      </c>
      <c r="O157" s="164">
        <f t="shared" si="136"/>
        <v>22.45870506</v>
      </c>
      <c r="P157" s="164">
        <f t="shared" si="136"/>
        <v>14.6181089</v>
      </c>
      <c r="Q157" s="164">
        <f t="shared" si="136"/>
        <v>10.83535868</v>
      </c>
      <c r="R157" s="164">
        <f t="shared" si="136"/>
        <v>8.607883578</v>
      </c>
      <c r="S157" s="164">
        <f t="shared" si="136"/>
        <v>7.140066821</v>
      </c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60">
        <v>7.0</v>
      </c>
      <c r="C158" s="161" t="s">
        <v>56</v>
      </c>
      <c r="D158" s="156"/>
      <c r="E158" s="174">
        <f t="shared" ref="E158:S158" si="137">$B158/HLOOKUP(E$155,INDIRECT(CONCATENATE("ChestValue", SUBSTITUTE($B$154," ",""))),7,FALSE)</f>
        <v>31.9788848</v>
      </c>
      <c r="F158" s="174">
        <f t="shared" si="137"/>
        <v>28.42330833</v>
      </c>
      <c r="G158" s="174">
        <f t="shared" si="137"/>
        <v>25.57927348</v>
      </c>
      <c r="H158" s="174">
        <f t="shared" si="137"/>
        <v>23.25261768</v>
      </c>
      <c r="I158" s="174">
        <f t="shared" si="137"/>
        <v>21.31393157</v>
      </c>
      <c r="J158" s="175">
        <f t="shared" si="137"/>
        <v>15.86385996</v>
      </c>
      <c r="K158" s="175">
        <f t="shared" si="137"/>
        <v>14.25790107</v>
      </c>
      <c r="L158" s="175">
        <f t="shared" si="137"/>
        <v>12.94720614</v>
      </c>
      <c r="M158" s="175">
        <f t="shared" si="137"/>
        <v>11.85720179</v>
      </c>
      <c r="N158" s="175">
        <f t="shared" si="137"/>
        <v>10.93647743</v>
      </c>
      <c r="O158" s="159">
        <f t="shared" si="137"/>
        <v>39.30273385</v>
      </c>
      <c r="P158" s="159">
        <f t="shared" si="137"/>
        <v>25.58169057</v>
      </c>
      <c r="Q158" s="159">
        <f t="shared" si="137"/>
        <v>18.96187768</v>
      </c>
      <c r="R158" s="159">
        <f t="shared" si="137"/>
        <v>15.06379626</v>
      </c>
      <c r="S158" s="159">
        <f t="shared" si="137"/>
        <v>12.49511694</v>
      </c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65">
        <v>19.0</v>
      </c>
      <c r="C159" s="166" t="s">
        <v>29</v>
      </c>
      <c r="D159" s="156"/>
      <c r="E159" s="176">
        <f t="shared" ref="E159:S159" si="138">$B159/HLOOKUP(E$155,INDIRECT(CONCATENATE("ChestValue", SUBSTITUTE($B$154," ",""))),7,FALSE)</f>
        <v>86.79983017</v>
      </c>
      <c r="F159" s="176">
        <f t="shared" si="138"/>
        <v>77.14897976</v>
      </c>
      <c r="G159" s="176">
        <f t="shared" si="138"/>
        <v>69.42945659</v>
      </c>
      <c r="H159" s="176">
        <f t="shared" si="138"/>
        <v>63.114248</v>
      </c>
      <c r="I159" s="176">
        <f t="shared" si="138"/>
        <v>57.85209996</v>
      </c>
      <c r="J159" s="177">
        <f t="shared" si="138"/>
        <v>43.05904847</v>
      </c>
      <c r="K159" s="177">
        <f t="shared" si="138"/>
        <v>38.7000172</v>
      </c>
      <c r="L159" s="177">
        <f t="shared" si="138"/>
        <v>35.14241668</v>
      </c>
      <c r="M159" s="177">
        <f t="shared" si="138"/>
        <v>32.18383343</v>
      </c>
      <c r="N159" s="177">
        <f t="shared" si="138"/>
        <v>29.68472447</v>
      </c>
      <c r="O159" s="164">
        <f t="shared" si="138"/>
        <v>106.678849</v>
      </c>
      <c r="P159" s="164">
        <f t="shared" si="138"/>
        <v>69.43601727</v>
      </c>
      <c r="Q159" s="164">
        <f t="shared" si="138"/>
        <v>51.46795371</v>
      </c>
      <c r="R159" s="164">
        <f t="shared" si="138"/>
        <v>40.887447</v>
      </c>
      <c r="S159" s="164">
        <f t="shared" si="138"/>
        <v>33.9153174</v>
      </c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65">
        <v>31.0</v>
      </c>
      <c r="C160" s="166" t="s">
        <v>57</v>
      </c>
      <c r="D160" s="156"/>
      <c r="E160" s="174">
        <f t="shared" ref="E160:S160" si="139">$B160/HLOOKUP(E$155,INDIRECT(CONCATENATE("ChestValue", SUBSTITUTE($B$154," ",""))),7,FALSE)</f>
        <v>141.6207755</v>
      </c>
      <c r="F160" s="174">
        <f t="shared" si="139"/>
        <v>125.8746512</v>
      </c>
      <c r="G160" s="174">
        <f t="shared" si="139"/>
        <v>113.2796397</v>
      </c>
      <c r="H160" s="174">
        <f t="shared" si="139"/>
        <v>102.9758783</v>
      </c>
      <c r="I160" s="174">
        <f t="shared" si="139"/>
        <v>94.39026836</v>
      </c>
      <c r="J160" s="175">
        <f t="shared" si="139"/>
        <v>70.25423697</v>
      </c>
      <c r="K160" s="175">
        <f t="shared" si="139"/>
        <v>63.14213332</v>
      </c>
      <c r="L160" s="175">
        <f t="shared" si="139"/>
        <v>57.33762721</v>
      </c>
      <c r="M160" s="175">
        <f t="shared" si="139"/>
        <v>52.51046507</v>
      </c>
      <c r="N160" s="175">
        <f t="shared" si="139"/>
        <v>48.4329715</v>
      </c>
      <c r="O160" s="159">
        <f t="shared" si="139"/>
        <v>174.0549642</v>
      </c>
      <c r="P160" s="159">
        <f t="shared" si="139"/>
        <v>113.290344</v>
      </c>
      <c r="Q160" s="159">
        <f t="shared" si="139"/>
        <v>83.97402973</v>
      </c>
      <c r="R160" s="159">
        <f t="shared" si="139"/>
        <v>66.71109773</v>
      </c>
      <c r="S160" s="159">
        <f t="shared" si="139"/>
        <v>55.33551786</v>
      </c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65">
        <v>43.0</v>
      </c>
      <c r="C161" s="166" t="s">
        <v>58</v>
      </c>
      <c r="D161" s="156"/>
      <c r="E161" s="176">
        <f t="shared" ref="E161:S161" si="140">$B161/HLOOKUP(E$155,INDIRECT(CONCATENATE("ChestValue", SUBSTITUTE($B$154," ",""))),7,FALSE)</f>
        <v>196.4417209</v>
      </c>
      <c r="F161" s="176">
        <f t="shared" si="140"/>
        <v>174.6003226</v>
      </c>
      <c r="G161" s="176">
        <f t="shared" si="140"/>
        <v>157.1298228</v>
      </c>
      <c r="H161" s="176">
        <f t="shared" si="140"/>
        <v>142.8375086</v>
      </c>
      <c r="I161" s="176">
        <f t="shared" si="140"/>
        <v>130.9284368</v>
      </c>
      <c r="J161" s="177">
        <f t="shared" si="140"/>
        <v>97.44942548</v>
      </c>
      <c r="K161" s="177">
        <f t="shared" si="140"/>
        <v>87.58424944</v>
      </c>
      <c r="L161" s="177">
        <f t="shared" si="140"/>
        <v>79.53283774</v>
      </c>
      <c r="M161" s="177">
        <f t="shared" si="140"/>
        <v>72.83709671</v>
      </c>
      <c r="N161" s="177">
        <f t="shared" si="140"/>
        <v>67.18121853</v>
      </c>
      <c r="O161" s="164">
        <f t="shared" si="140"/>
        <v>241.4310793</v>
      </c>
      <c r="P161" s="164">
        <f t="shared" si="140"/>
        <v>157.1446707</v>
      </c>
      <c r="Q161" s="164">
        <f t="shared" si="140"/>
        <v>116.4801058</v>
      </c>
      <c r="R161" s="164">
        <f t="shared" si="140"/>
        <v>92.53474847</v>
      </c>
      <c r="S161" s="164">
        <f t="shared" si="140"/>
        <v>76.75571833</v>
      </c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67">
        <v>100.0</v>
      </c>
      <c r="C162" s="168" t="s">
        <v>31</v>
      </c>
      <c r="D162" s="156"/>
      <c r="E162" s="174">
        <f t="shared" ref="E162:S162" si="141">$B162/HLOOKUP(E$155,INDIRECT(CONCATENATE("ChestValue", SUBSTITUTE($B$154," ",""))),7,FALSE)</f>
        <v>456.8412114</v>
      </c>
      <c r="F162" s="174">
        <f t="shared" si="141"/>
        <v>406.0472619</v>
      </c>
      <c r="G162" s="174">
        <f t="shared" si="141"/>
        <v>365.4181926</v>
      </c>
      <c r="H162" s="174">
        <f t="shared" si="141"/>
        <v>332.1802526</v>
      </c>
      <c r="I162" s="174">
        <f t="shared" si="141"/>
        <v>304.4847367</v>
      </c>
      <c r="J162" s="175">
        <f t="shared" si="141"/>
        <v>226.6265709</v>
      </c>
      <c r="K162" s="175">
        <f t="shared" si="141"/>
        <v>203.684301</v>
      </c>
      <c r="L162" s="175">
        <f t="shared" si="141"/>
        <v>184.9600878</v>
      </c>
      <c r="M162" s="175">
        <f t="shared" si="141"/>
        <v>169.388597</v>
      </c>
      <c r="N162" s="175">
        <f t="shared" si="141"/>
        <v>156.2353919</v>
      </c>
      <c r="O162" s="159">
        <f t="shared" si="141"/>
        <v>561.4676264</v>
      </c>
      <c r="P162" s="159">
        <f t="shared" si="141"/>
        <v>365.4527225</v>
      </c>
      <c r="Q162" s="159">
        <f t="shared" si="141"/>
        <v>270.8839669</v>
      </c>
      <c r="R162" s="159">
        <f t="shared" si="141"/>
        <v>215.1970895</v>
      </c>
      <c r="S162" s="159">
        <f t="shared" si="141"/>
        <v>178.5016705</v>
      </c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67">
        <v>157.0</v>
      </c>
      <c r="C163" s="168" t="s">
        <v>59</v>
      </c>
      <c r="D163" s="156"/>
      <c r="E163" s="176">
        <f t="shared" ref="E163:S163" si="142">$B163/HLOOKUP(E$155,INDIRECT(CONCATENATE("ChestValue", SUBSTITUTE($B$154," ",""))),7,FALSE)</f>
        <v>717.2407019</v>
      </c>
      <c r="F163" s="176">
        <f t="shared" si="142"/>
        <v>637.4942011</v>
      </c>
      <c r="G163" s="176">
        <f t="shared" si="142"/>
        <v>573.7065623</v>
      </c>
      <c r="H163" s="176">
        <f t="shared" si="142"/>
        <v>521.5229966</v>
      </c>
      <c r="I163" s="176">
        <f t="shared" si="142"/>
        <v>478.0410365</v>
      </c>
      <c r="J163" s="177">
        <f t="shared" si="142"/>
        <v>355.8037163</v>
      </c>
      <c r="K163" s="177">
        <f t="shared" si="142"/>
        <v>319.7843526</v>
      </c>
      <c r="L163" s="177">
        <f t="shared" si="142"/>
        <v>290.3873378</v>
      </c>
      <c r="M163" s="177">
        <f t="shared" si="142"/>
        <v>265.9400973</v>
      </c>
      <c r="N163" s="177">
        <f t="shared" si="142"/>
        <v>245.2895653</v>
      </c>
      <c r="O163" s="164">
        <f t="shared" si="142"/>
        <v>881.5041734</v>
      </c>
      <c r="P163" s="164">
        <f t="shared" si="142"/>
        <v>573.7607743</v>
      </c>
      <c r="Q163" s="164">
        <f t="shared" si="142"/>
        <v>425.287828</v>
      </c>
      <c r="R163" s="164">
        <f t="shared" si="142"/>
        <v>337.8594304</v>
      </c>
      <c r="S163" s="164">
        <f t="shared" si="142"/>
        <v>280.2476227</v>
      </c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67">
        <v>214.0</v>
      </c>
      <c r="C164" s="168" t="s">
        <v>60</v>
      </c>
      <c r="D164" s="156"/>
      <c r="E164" s="174">
        <f t="shared" ref="E164:S164" si="143">$B164/HLOOKUP(E$155,INDIRECT(CONCATENATE("ChestValue", SUBSTITUTE($B$154," ",""))),7,FALSE)</f>
        <v>977.6401924</v>
      </c>
      <c r="F164" s="174">
        <f t="shared" si="143"/>
        <v>868.9411404</v>
      </c>
      <c r="G164" s="174">
        <f t="shared" si="143"/>
        <v>781.9949321</v>
      </c>
      <c r="H164" s="174">
        <f t="shared" si="143"/>
        <v>710.8657406</v>
      </c>
      <c r="I164" s="174">
        <f t="shared" si="143"/>
        <v>651.5973364</v>
      </c>
      <c r="J164" s="175">
        <f t="shared" si="143"/>
        <v>484.9808617</v>
      </c>
      <c r="K164" s="175">
        <f t="shared" si="143"/>
        <v>435.8844042</v>
      </c>
      <c r="L164" s="175">
        <f t="shared" si="143"/>
        <v>395.8145878</v>
      </c>
      <c r="M164" s="175">
        <f t="shared" si="143"/>
        <v>362.4915976</v>
      </c>
      <c r="N164" s="175">
        <f t="shared" si="143"/>
        <v>334.3437387</v>
      </c>
      <c r="O164" s="159">
        <f t="shared" si="143"/>
        <v>1201.54072</v>
      </c>
      <c r="P164" s="159">
        <f t="shared" si="143"/>
        <v>782.0688261</v>
      </c>
      <c r="Q164" s="159">
        <f t="shared" si="143"/>
        <v>579.6916891</v>
      </c>
      <c r="R164" s="159">
        <f t="shared" si="143"/>
        <v>460.5217714</v>
      </c>
      <c r="S164" s="159">
        <f t="shared" si="143"/>
        <v>381.9935749</v>
      </c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67">
        <v>271.0</v>
      </c>
      <c r="C165" s="168" t="s">
        <v>61</v>
      </c>
      <c r="D165" s="156"/>
      <c r="E165" s="176">
        <f t="shared" ref="E165:S165" si="144">$B165/HLOOKUP(E$155,INDIRECT(CONCATENATE("ChestValue", SUBSTITUTE($B$154," ",""))),7,FALSE)</f>
        <v>1238.039683</v>
      </c>
      <c r="F165" s="176">
        <f t="shared" si="144"/>
        <v>1100.38808</v>
      </c>
      <c r="G165" s="176">
        <f t="shared" si="144"/>
        <v>990.2833019</v>
      </c>
      <c r="H165" s="176">
        <f t="shared" si="144"/>
        <v>900.2084846</v>
      </c>
      <c r="I165" s="176">
        <f t="shared" si="144"/>
        <v>825.1536363</v>
      </c>
      <c r="J165" s="177">
        <f t="shared" si="144"/>
        <v>614.1580071</v>
      </c>
      <c r="K165" s="177">
        <f t="shared" si="144"/>
        <v>551.9844558</v>
      </c>
      <c r="L165" s="177">
        <f t="shared" si="144"/>
        <v>501.2418378</v>
      </c>
      <c r="M165" s="177">
        <f t="shared" si="144"/>
        <v>459.0430979</v>
      </c>
      <c r="N165" s="177">
        <f t="shared" si="144"/>
        <v>423.3979121</v>
      </c>
      <c r="O165" s="164">
        <f t="shared" si="144"/>
        <v>1521.577267</v>
      </c>
      <c r="P165" s="164">
        <f t="shared" si="144"/>
        <v>990.3768779</v>
      </c>
      <c r="Q165" s="164">
        <f t="shared" si="144"/>
        <v>734.0955502</v>
      </c>
      <c r="R165" s="164">
        <f t="shared" si="144"/>
        <v>583.1841124</v>
      </c>
      <c r="S165" s="164">
        <f t="shared" si="144"/>
        <v>483.7395271</v>
      </c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69">
        <v>571.0</v>
      </c>
      <c r="C166" s="170" t="s">
        <v>32</v>
      </c>
      <c r="D166" s="156"/>
      <c r="E166" s="174">
        <f t="shared" ref="E166:S166" si="145">$B166/HLOOKUP(E$155,INDIRECT(CONCATENATE("ChestValue", SUBSTITUTE($B$154," ",""))),7,FALSE)</f>
        <v>2608.563317</v>
      </c>
      <c r="F166" s="174">
        <f t="shared" si="145"/>
        <v>2318.529865</v>
      </c>
      <c r="G166" s="174">
        <f t="shared" si="145"/>
        <v>2086.53788</v>
      </c>
      <c r="H166" s="174">
        <f t="shared" si="145"/>
        <v>1896.749243</v>
      </c>
      <c r="I166" s="174">
        <f t="shared" si="145"/>
        <v>1738.607846</v>
      </c>
      <c r="J166" s="175">
        <f t="shared" si="145"/>
        <v>1294.03772</v>
      </c>
      <c r="K166" s="175">
        <f t="shared" si="145"/>
        <v>1163.037359</v>
      </c>
      <c r="L166" s="175">
        <f t="shared" si="145"/>
        <v>1056.122101</v>
      </c>
      <c r="M166" s="175">
        <f t="shared" si="145"/>
        <v>967.2088888</v>
      </c>
      <c r="N166" s="175">
        <f t="shared" si="145"/>
        <v>892.1040879</v>
      </c>
      <c r="O166" s="159">
        <f t="shared" si="145"/>
        <v>3205.980147</v>
      </c>
      <c r="P166" s="159">
        <f t="shared" si="145"/>
        <v>2086.735045</v>
      </c>
      <c r="Q166" s="159">
        <f t="shared" si="145"/>
        <v>1546.747451</v>
      </c>
      <c r="R166" s="159">
        <f t="shared" si="145"/>
        <v>1228.775381</v>
      </c>
      <c r="S166" s="159">
        <f t="shared" si="145"/>
        <v>1019.244539</v>
      </c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69">
        <v>871.0</v>
      </c>
      <c r="C167" s="170" t="s">
        <v>62</v>
      </c>
      <c r="D167" s="156"/>
      <c r="E167" s="176">
        <f t="shared" ref="E167:S167" si="146">$B167/HLOOKUP(E$155,INDIRECT(CONCATENATE("ChestValue", SUBSTITUTE($B$154," ",""))),7,FALSE)</f>
        <v>3979.086951</v>
      </c>
      <c r="F167" s="176">
        <f t="shared" si="146"/>
        <v>3536.671651</v>
      </c>
      <c r="G167" s="176">
        <f t="shared" si="146"/>
        <v>3182.792457</v>
      </c>
      <c r="H167" s="176">
        <f t="shared" si="146"/>
        <v>2893.29</v>
      </c>
      <c r="I167" s="176">
        <f t="shared" si="146"/>
        <v>2652.062056</v>
      </c>
      <c r="J167" s="177">
        <f t="shared" si="146"/>
        <v>1973.917432</v>
      </c>
      <c r="K167" s="177">
        <f t="shared" si="146"/>
        <v>1774.090262</v>
      </c>
      <c r="L167" s="177">
        <f t="shared" si="146"/>
        <v>1611.002364</v>
      </c>
      <c r="M167" s="177">
        <f t="shared" si="146"/>
        <v>1475.37468</v>
      </c>
      <c r="N167" s="177">
        <f t="shared" si="146"/>
        <v>1360.810264</v>
      </c>
      <c r="O167" s="164">
        <f t="shared" si="146"/>
        <v>4890.383026</v>
      </c>
      <c r="P167" s="164">
        <f t="shared" si="146"/>
        <v>3183.093213</v>
      </c>
      <c r="Q167" s="164">
        <f t="shared" si="146"/>
        <v>2359.399351</v>
      </c>
      <c r="R167" s="164">
        <f t="shared" si="146"/>
        <v>1874.366649</v>
      </c>
      <c r="S167" s="164">
        <f t="shared" si="146"/>
        <v>1554.74955</v>
      </c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69">
        <v>1171.0</v>
      </c>
      <c r="C168" s="170" t="s">
        <v>63</v>
      </c>
      <c r="D168" s="156"/>
      <c r="E168" s="174">
        <f t="shared" ref="E168:S168" si="147">$B168/HLOOKUP(E$155,INDIRECT(CONCATENATE("ChestValue", SUBSTITUTE($B$154," ",""))),7,FALSE)</f>
        <v>5349.610586</v>
      </c>
      <c r="F168" s="174">
        <f t="shared" si="147"/>
        <v>4754.813437</v>
      </c>
      <c r="G168" s="174">
        <f t="shared" si="147"/>
        <v>4279.047035</v>
      </c>
      <c r="H168" s="174">
        <f t="shared" si="147"/>
        <v>3889.830758</v>
      </c>
      <c r="I168" s="174">
        <f t="shared" si="147"/>
        <v>3565.516266</v>
      </c>
      <c r="J168" s="175">
        <f t="shared" si="147"/>
        <v>2653.797145</v>
      </c>
      <c r="K168" s="175">
        <f t="shared" si="147"/>
        <v>2385.143165</v>
      </c>
      <c r="L168" s="175">
        <f t="shared" si="147"/>
        <v>2165.882628</v>
      </c>
      <c r="M168" s="175">
        <f t="shared" si="147"/>
        <v>1983.540471</v>
      </c>
      <c r="N168" s="175">
        <f t="shared" si="147"/>
        <v>1829.516439</v>
      </c>
      <c r="O168" s="159">
        <f t="shared" si="147"/>
        <v>6574.785905</v>
      </c>
      <c r="P168" s="159">
        <f t="shared" si="147"/>
        <v>4279.45138</v>
      </c>
      <c r="Q168" s="159">
        <f t="shared" si="147"/>
        <v>3172.051252</v>
      </c>
      <c r="R168" s="159">
        <f t="shared" si="147"/>
        <v>2519.957918</v>
      </c>
      <c r="S168" s="159">
        <f t="shared" si="147"/>
        <v>2090.254562</v>
      </c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69">
        <v>1471.0</v>
      </c>
      <c r="C169" s="170" t="s">
        <v>64</v>
      </c>
      <c r="D169" s="156"/>
      <c r="E169" s="176">
        <f t="shared" ref="E169:S169" si="148">$B169/HLOOKUP(E$155,INDIRECT(CONCATENATE("ChestValue", SUBSTITUTE($B$154," ",""))),7,FALSE)</f>
        <v>6720.13422</v>
      </c>
      <c r="F169" s="176">
        <f t="shared" si="148"/>
        <v>5972.955222</v>
      </c>
      <c r="G169" s="176">
        <f t="shared" si="148"/>
        <v>5375.301613</v>
      </c>
      <c r="H169" s="176">
        <f t="shared" si="148"/>
        <v>4886.371516</v>
      </c>
      <c r="I169" s="176">
        <f t="shared" si="148"/>
        <v>4478.970476</v>
      </c>
      <c r="J169" s="177">
        <f t="shared" si="148"/>
        <v>3333.676858</v>
      </c>
      <c r="K169" s="177">
        <f t="shared" si="148"/>
        <v>2996.196068</v>
      </c>
      <c r="L169" s="177">
        <f t="shared" si="148"/>
        <v>2720.762891</v>
      </c>
      <c r="M169" s="177">
        <f t="shared" si="148"/>
        <v>2491.706262</v>
      </c>
      <c r="N169" s="177">
        <f t="shared" si="148"/>
        <v>2298.222615</v>
      </c>
      <c r="O169" s="164">
        <f t="shared" si="148"/>
        <v>8259.188784</v>
      </c>
      <c r="P169" s="164">
        <f t="shared" si="148"/>
        <v>5375.809548</v>
      </c>
      <c r="Q169" s="164">
        <f t="shared" si="148"/>
        <v>3984.703153</v>
      </c>
      <c r="R169" s="164">
        <f t="shared" si="148"/>
        <v>3165.549186</v>
      </c>
      <c r="S169" s="164">
        <f t="shared" si="148"/>
        <v>2625.759573</v>
      </c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69">
        <v>1771.0</v>
      </c>
      <c r="C170" s="170" t="s">
        <v>65</v>
      </c>
      <c r="D170" s="156"/>
      <c r="E170" s="174">
        <f t="shared" ref="E170:S170" si="149">$B170/HLOOKUP(E$155,INDIRECT(CONCATENATE("ChestValue", SUBSTITUTE($B$154," ",""))),7,FALSE)</f>
        <v>8090.657854</v>
      </c>
      <c r="F170" s="174">
        <f t="shared" si="149"/>
        <v>7191.097008</v>
      </c>
      <c r="G170" s="174">
        <f t="shared" si="149"/>
        <v>6471.55619</v>
      </c>
      <c r="H170" s="174">
        <f t="shared" si="149"/>
        <v>5882.912274</v>
      </c>
      <c r="I170" s="174">
        <f t="shared" si="149"/>
        <v>5392.424686</v>
      </c>
      <c r="J170" s="175">
        <f t="shared" si="149"/>
        <v>4013.55657</v>
      </c>
      <c r="K170" s="175">
        <f t="shared" si="149"/>
        <v>3607.248971</v>
      </c>
      <c r="L170" s="175">
        <f t="shared" si="149"/>
        <v>3275.643154</v>
      </c>
      <c r="M170" s="175">
        <f t="shared" si="149"/>
        <v>2999.872053</v>
      </c>
      <c r="N170" s="175">
        <f t="shared" si="149"/>
        <v>2766.928791</v>
      </c>
      <c r="O170" s="159">
        <f t="shared" si="149"/>
        <v>9943.591663</v>
      </c>
      <c r="P170" s="159">
        <f t="shared" si="149"/>
        <v>6472.167715</v>
      </c>
      <c r="Q170" s="159">
        <f t="shared" si="149"/>
        <v>4797.355053</v>
      </c>
      <c r="R170" s="159">
        <f t="shared" si="149"/>
        <v>3811.140454</v>
      </c>
      <c r="S170" s="159">
        <f t="shared" si="149"/>
        <v>3161.264585</v>
      </c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71">
        <v>3484.0</v>
      </c>
      <c r="C171" s="172" t="s">
        <v>33</v>
      </c>
      <c r="D171" s="156"/>
      <c r="E171" s="176">
        <f t="shared" ref="E171:S171" si="150">$B171/HLOOKUP(E$155,INDIRECT(CONCATENATE("ChestValue", SUBSTITUTE($B$154," ",""))),7,FALSE)</f>
        <v>15916.34781</v>
      </c>
      <c r="F171" s="176">
        <f t="shared" si="150"/>
        <v>14146.6866</v>
      </c>
      <c r="G171" s="176">
        <f t="shared" si="150"/>
        <v>12731.16983</v>
      </c>
      <c r="H171" s="176">
        <f t="shared" si="150"/>
        <v>11573.16</v>
      </c>
      <c r="I171" s="176">
        <f t="shared" si="150"/>
        <v>10608.24823</v>
      </c>
      <c r="J171" s="177">
        <f t="shared" si="150"/>
        <v>7895.669729</v>
      </c>
      <c r="K171" s="177">
        <f t="shared" si="150"/>
        <v>7096.361048</v>
      </c>
      <c r="L171" s="177">
        <f t="shared" si="150"/>
        <v>6444.009458</v>
      </c>
      <c r="M171" s="177">
        <f t="shared" si="150"/>
        <v>5901.498719</v>
      </c>
      <c r="N171" s="177">
        <f t="shared" si="150"/>
        <v>5443.241055</v>
      </c>
      <c r="O171" s="164">
        <f t="shared" si="150"/>
        <v>19561.5321</v>
      </c>
      <c r="P171" s="164">
        <f t="shared" si="150"/>
        <v>12732.37285</v>
      </c>
      <c r="Q171" s="164">
        <f t="shared" si="150"/>
        <v>9437.597406</v>
      </c>
      <c r="R171" s="164">
        <f t="shared" si="150"/>
        <v>7497.466597</v>
      </c>
      <c r="S171" s="164">
        <f t="shared" si="150"/>
        <v>6218.998201</v>
      </c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71">
        <v>5197.0</v>
      </c>
      <c r="C172" s="172" t="s">
        <v>66</v>
      </c>
      <c r="D172" s="156"/>
      <c r="E172" s="174">
        <f t="shared" ref="E172:S172" si="151">$B172/HLOOKUP(E$155,INDIRECT(CONCATENATE("ChestValue", SUBSTITUTE($B$154," ",""))),7,FALSE)</f>
        <v>23742.03776</v>
      </c>
      <c r="F172" s="174">
        <f t="shared" si="151"/>
        <v>21102.2762</v>
      </c>
      <c r="G172" s="174">
        <f t="shared" si="151"/>
        <v>18990.78347</v>
      </c>
      <c r="H172" s="174">
        <f t="shared" si="151"/>
        <v>17263.40773</v>
      </c>
      <c r="I172" s="174">
        <f t="shared" si="151"/>
        <v>15824.07176</v>
      </c>
      <c r="J172" s="175">
        <f t="shared" si="151"/>
        <v>11777.78289</v>
      </c>
      <c r="K172" s="175">
        <f t="shared" si="151"/>
        <v>10585.47312</v>
      </c>
      <c r="L172" s="175">
        <f t="shared" si="151"/>
        <v>9612.375761</v>
      </c>
      <c r="M172" s="175">
        <f t="shared" si="151"/>
        <v>8803.125386</v>
      </c>
      <c r="N172" s="175">
        <f t="shared" si="151"/>
        <v>8119.553318</v>
      </c>
      <c r="O172" s="159">
        <f t="shared" si="151"/>
        <v>29179.47254</v>
      </c>
      <c r="P172" s="159">
        <f t="shared" si="151"/>
        <v>18992.57799</v>
      </c>
      <c r="Q172" s="159">
        <f t="shared" si="151"/>
        <v>14077.83976</v>
      </c>
      <c r="R172" s="159">
        <f t="shared" si="151"/>
        <v>11183.79274</v>
      </c>
      <c r="S172" s="159">
        <f t="shared" si="151"/>
        <v>9276.731817</v>
      </c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71">
        <v>6910.0</v>
      </c>
      <c r="C173" s="172" t="s">
        <v>67</v>
      </c>
      <c r="D173" s="156"/>
      <c r="E173" s="176">
        <f t="shared" ref="E173:S173" si="152">$B173/HLOOKUP(E$155,INDIRECT(CONCATENATE("ChestValue", SUBSTITUTE($B$154," ",""))),7,FALSE)</f>
        <v>31567.72771</v>
      </c>
      <c r="F173" s="176">
        <f t="shared" si="152"/>
        <v>28057.8658</v>
      </c>
      <c r="G173" s="176">
        <f t="shared" si="152"/>
        <v>25250.39711</v>
      </c>
      <c r="H173" s="176">
        <f t="shared" si="152"/>
        <v>22953.65546</v>
      </c>
      <c r="I173" s="176">
        <f t="shared" si="152"/>
        <v>21039.8953</v>
      </c>
      <c r="J173" s="177">
        <f t="shared" si="152"/>
        <v>15659.89605</v>
      </c>
      <c r="K173" s="177">
        <f t="shared" si="152"/>
        <v>14074.5852</v>
      </c>
      <c r="L173" s="177">
        <f t="shared" si="152"/>
        <v>12780.74206</v>
      </c>
      <c r="M173" s="177">
        <f t="shared" si="152"/>
        <v>11704.75205</v>
      </c>
      <c r="N173" s="177">
        <f t="shared" si="152"/>
        <v>10795.86558</v>
      </c>
      <c r="O173" s="164">
        <f t="shared" si="152"/>
        <v>38797.41298</v>
      </c>
      <c r="P173" s="164">
        <f t="shared" si="152"/>
        <v>25252.78312</v>
      </c>
      <c r="Q173" s="164">
        <f t="shared" si="152"/>
        <v>18718.08211</v>
      </c>
      <c r="R173" s="164">
        <f t="shared" si="152"/>
        <v>14870.11888</v>
      </c>
      <c r="S173" s="164">
        <f t="shared" si="152"/>
        <v>12334.46543</v>
      </c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71">
        <v>8623.0</v>
      </c>
      <c r="C174" s="172" t="s">
        <v>68</v>
      </c>
      <c r="D174" s="156"/>
      <c r="E174" s="174">
        <f t="shared" ref="E174:S174" si="153">$B174/HLOOKUP(E$155,INDIRECT(CONCATENATE("ChestValue", SUBSTITUTE($B$154," ",""))),7,FALSE)</f>
        <v>39393.41766</v>
      </c>
      <c r="F174" s="174">
        <f t="shared" si="153"/>
        <v>35013.45539</v>
      </c>
      <c r="G174" s="174">
        <f t="shared" si="153"/>
        <v>31510.01075</v>
      </c>
      <c r="H174" s="174">
        <f t="shared" si="153"/>
        <v>28643.90318</v>
      </c>
      <c r="I174" s="174">
        <f t="shared" si="153"/>
        <v>26255.71884</v>
      </c>
      <c r="J174" s="175">
        <f t="shared" si="153"/>
        <v>19542.00921</v>
      </c>
      <c r="K174" s="175">
        <f t="shared" si="153"/>
        <v>17563.69728</v>
      </c>
      <c r="L174" s="175">
        <f t="shared" si="153"/>
        <v>15949.10837</v>
      </c>
      <c r="M174" s="175">
        <f t="shared" si="153"/>
        <v>14606.37872</v>
      </c>
      <c r="N174" s="175">
        <f t="shared" si="153"/>
        <v>13472.17785</v>
      </c>
      <c r="O174" s="159">
        <f t="shared" si="153"/>
        <v>48415.35342</v>
      </c>
      <c r="P174" s="159">
        <f t="shared" si="153"/>
        <v>31512.98826</v>
      </c>
      <c r="Q174" s="159">
        <f t="shared" si="153"/>
        <v>23358.32446</v>
      </c>
      <c r="R174" s="159">
        <f t="shared" si="153"/>
        <v>18556.44502</v>
      </c>
      <c r="S174" s="159">
        <f t="shared" si="153"/>
        <v>15392.19905</v>
      </c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71">
        <v>10336.0</v>
      </c>
      <c r="C175" s="172" t="s">
        <v>69</v>
      </c>
      <c r="D175" s="156"/>
      <c r="E175" s="176">
        <f t="shared" ref="E175:S175" si="154">$B175/HLOOKUP(E$155,INDIRECT(CONCATENATE("ChestValue", SUBSTITUTE($B$154," ",""))),7,FALSE)</f>
        <v>47219.10761</v>
      </c>
      <c r="F175" s="176">
        <f t="shared" si="154"/>
        <v>41969.04499</v>
      </c>
      <c r="G175" s="176">
        <f t="shared" si="154"/>
        <v>37769.62438</v>
      </c>
      <c r="H175" s="176">
        <f t="shared" si="154"/>
        <v>34334.15091</v>
      </c>
      <c r="I175" s="176">
        <f t="shared" si="154"/>
        <v>31471.54238</v>
      </c>
      <c r="J175" s="177">
        <f t="shared" si="154"/>
        <v>23424.12237</v>
      </c>
      <c r="K175" s="177">
        <f t="shared" si="154"/>
        <v>21052.80935</v>
      </c>
      <c r="L175" s="177">
        <f t="shared" si="154"/>
        <v>19117.47467</v>
      </c>
      <c r="M175" s="177">
        <f t="shared" si="154"/>
        <v>17508.00539</v>
      </c>
      <c r="N175" s="177">
        <f t="shared" si="154"/>
        <v>16148.49011</v>
      </c>
      <c r="O175" s="164">
        <f t="shared" si="154"/>
        <v>58033.29386</v>
      </c>
      <c r="P175" s="164">
        <f t="shared" si="154"/>
        <v>37773.19339</v>
      </c>
      <c r="Q175" s="164">
        <f t="shared" si="154"/>
        <v>27998.56682</v>
      </c>
      <c r="R175" s="164">
        <f t="shared" si="154"/>
        <v>22242.77117</v>
      </c>
      <c r="S175" s="164">
        <f t="shared" si="154"/>
        <v>18449.93267</v>
      </c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71">
        <v>12049.0</v>
      </c>
      <c r="C176" s="172" t="s">
        <v>70</v>
      </c>
      <c r="D176" s="156"/>
      <c r="E176" s="174">
        <f t="shared" ref="E176:S176" si="155">$B176/HLOOKUP(E$155,INDIRECT(CONCATENATE("ChestValue", SUBSTITUTE($B$154," ",""))),7,FALSE)</f>
        <v>55044.79756</v>
      </c>
      <c r="F176" s="174">
        <f t="shared" si="155"/>
        <v>48924.63458</v>
      </c>
      <c r="G176" s="174">
        <f t="shared" si="155"/>
        <v>44029.23802</v>
      </c>
      <c r="H176" s="174">
        <f t="shared" si="155"/>
        <v>40024.39864</v>
      </c>
      <c r="I176" s="174">
        <f t="shared" si="155"/>
        <v>36687.36592</v>
      </c>
      <c r="J176" s="175">
        <f t="shared" si="155"/>
        <v>27306.23552</v>
      </c>
      <c r="K176" s="175">
        <f t="shared" si="155"/>
        <v>24541.92143</v>
      </c>
      <c r="L176" s="175">
        <f t="shared" si="155"/>
        <v>22285.84098</v>
      </c>
      <c r="M176" s="175">
        <f t="shared" si="155"/>
        <v>20409.63205</v>
      </c>
      <c r="N176" s="175">
        <f t="shared" si="155"/>
        <v>18824.80237</v>
      </c>
      <c r="O176" s="159">
        <f t="shared" si="155"/>
        <v>67651.2343</v>
      </c>
      <c r="P176" s="159">
        <f t="shared" si="155"/>
        <v>44033.39853</v>
      </c>
      <c r="Q176" s="159">
        <f t="shared" si="155"/>
        <v>32638.80917</v>
      </c>
      <c r="R176" s="159">
        <f t="shared" si="155"/>
        <v>25929.09731</v>
      </c>
      <c r="S176" s="159">
        <f t="shared" si="155"/>
        <v>21507.66628</v>
      </c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10" t="s">
        <v>52</v>
      </c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10" t="s">
        <v>46</v>
      </c>
      <c r="D179" s="173"/>
      <c r="E179" s="150" t="s">
        <v>53</v>
      </c>
      <c r="J179" s="151" t="s">
        <v>54</v>
      </c>
      <c r="O179" s="152" t="s">
        <v>55</v>
      </c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D180" s="149">
        <v>5.0</v>
      </c>
      <c r="E180" s="39">
        <v>6.0</v>
      </c>
      <c r="F180" s="39">
        <v>7.0</v>
      </c>
      <c r="G180" s="39">
        <v>8.0</v>
      </c>
      <c r="H180" s="39">
        <v>9.0</v>
      </c>
      <c r="I180" s="39">
        <v>10.0</v>
      </c>
      <c r="J180" s="40">
        <v>11.0</v>
      </c>
      <c r="K180" s="40">
        <v>12.0</v>
      </c>
      <c r="L180" s="40">
        <v>13.0</v>
      </c>
      <c r="M180" s="40">
        <v>14.0</v>
      </c>
      <c r="N180" s="40">
        <v>15.0</v>
      </c>
      <c r="O180" s="153">
        <v>16.0</v>
      </c>
      <c r="P180" s="153">
        <v>17.0</v>
      </c>
      <c r="Q180" s="153">
        <v>18.0</v>
      </c>
      <c r="R180" s="153">
        <v>19.0</v>
      </c>
      <c r="S180" s="153">
        <v>20.0</v>
      </c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54">
        <v>1.0</v>
      </c>
      <c r="C181" s="155" t="s">
        <v>27</v>
      </c>
      <c r="D181" s="178">
        <f t="shared" ref="D181:S181" si="156">$B181/HLOOKUP(D$180,INDIRECT(CONCATENATE("ChestValue", SUBSTITUTE($B$179," ",""))),7,FALSE)</f>
        <v>6.0755888</v>
      </c>
      <c r="E181" s="174">
        <f t="shared" si="156"/>
        <v>5.657315953</v>
      </c>
      <c r="F181" s="174">
        <f t="shared" si="156"/>
        <v>5.202430341</v>
      </c>
      <c r="G181" s="174">
        <f t="shared" si="156"/>
        <v>4.815252222</v>
      </c>
      <c r="H181" s="174">
        <f t="shared" si="156"/>
        <v>4.481711811</v>
      </c>
      <c r="I181" s="174">
        <f t="shared" si="156"/>
        <v>4.191385106</v>
      </c>
      <c r="J181" s="175">
        <f t="shared" si="156"/>
        <v>3.734280325</v>
      </c>
      <c r="K181" s="175">
        <f t="shared" si="156"/>
        <v>3.420424727</v>
      </c>
      <c r="L181" s="175">
        <f t="shared" si="156"/>
        <v>3.155236139</v>
      </c>
      <c r="M181" s="175">
        <f t="shared" si="156"/>
        <v>2.928209442</v>
      </c>
      <c r="N181" s="175">
        <f t="shared" si="156"/>
        <v>2.731660047</v>
      </c>
      <c r="O181" s="159">
        <f t="shared" si="156"/>
        <v>5.614676264</v>
      </c>
      <c r="P181" s="159">
        <f t="shared" si="156"/>
        <v>3.654527225</v>
      </c>
      <c r="Q181" s="159">
        <f t="shared" si="156"/>
        <v>2.708839669</v>
      </c>
      <c r="R181" s="159">
        <f t="shared" si="156"/>
        <v>2.151970895</v>
      </c>
      <c r="S181" s="159">
        <f t="shared" si="156"/>
        <v>1.785016705</v>
      </c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60">
        <v>4.0</v>
      </c>
      <c r="C182" s="161" t="s">
        <v>28</v>
      </c>
      <c r="D182" s="179">
        <f t="shared" ref="D182:S182" si="157">$B182/HLOOKUP(D$180,INDIRECT(CONCATENATE("ChestValue", SUBSTITUTE($B$179," ",""))),7,FALSE)</f>
        <v>24.3023552</v>
      </c>
      <c r="E182" s="176">
        <f t="shared" si="157"/>
        <v>22.62926381</v>
      </c>
      <c r="F182" s="176">
        <f t="shared" si="157"/>
        <v>20.80972137</v>
      </c>
      <c r="G182" s="176">
        <f t="shared" si="157"/>
        <v>19.26100889</v>
      </c>
      <c r="H182" s="176">
        <f t="shared" si="157"/>
        <v>17.92684724</v>
      </c>
      <c r="I182" s="176">
        <f t="shared" si="157"/>
        <v>16.76554043</v>
      </c>
      <c r="J182" s="177">
        <f t="shared" si="157"/>
        <v>14.9371213</v>
      </c>
      <c r="K182" s="177">
        <f t="shared" si="157"/>
        <v>13.68169891</v>
      </c>
      <c r="L182" s="177">
        <f t="shared" si="157"/>
        <v>12.62094456</v>
      </c>
      <c r="M182" s="177">
        <f t="shared" si="157"/>
        <v>11.71283777</v>
      </c>
      <c r="N182" s="177">
        <f t="shared" si="157"/>
        <v>10.92664019</v>
      </c>
      <c r="O182" s="164">
        <f t="shared" si="157"/>
        <v>22.45870506</v>
      </c>
      <c r="P182" s="164">
        <f t="shared" si="157"/>
        <v>14.6181089</v>
      </c>
      <c r="Q182" s="164">
        <f t="shared" si="157"/>
        <v>10.83535868</v>
      </c>
      <c r="R182" s="164">
        <f t="shared" si="157"/>
        <v>8.607883578</v>
      </c>
      <c r="S182" s="164">
        <f t="shared" si="157"/>
        <v>7.140066821</v>
      </c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60">
        <v>7.0</v>
      </c>
      <c r="C183" s="161" t="s">
        <v>56</v>
      </c>
      <c r="D183" s="178">
        <f t="shared" ref="D183:S183" si="158">$B183/HLOOKUP(D$180,INDIRECT(CONCATENATE("ChestValue", SUBSTITUTE($B$179," ",""))),7,FALSE)</f>
        <v>42.5291216</v>
      </c>
      <c r="E183" s="174">
        <f t="shared" si="158"/>
        <v>39.60121167</v>
      </c>
      <c r="F183" s="174">
        <f t="shared" si="158"/>
        <v>36.41701239</v>
      </c>
      <c r="G183" s="174">
        <f t="shared" si="158"/>
        <v>33.70676555</v>
      </c>
      <c r="H183" s="174">
        <f t="shared" si="158"/>
        <v>31.37198268</v>
      </c>
      <c r="I183" s="174">
        <f t="shared" si="158"/>
        <v>29.33969574</v>
      </c>
      <c r="J183" s="175">
        <f t="shared" si="158"/>
        <v>26.13996227</v>
      </c>
      <c r="K183" s="175">
        <f t="shared" si="158"/>
        <v>23.94297309</v>
      </c>
      <c r="L183" s="175">
        <f t="shared" si="158"/>
        <v>22.08665297</v>
      </c>
      <c r="M183" s="175">
        <f t="shared" si="158"/>
        <v>20.4974661</v>
      </c>
      <c r="N183" s="175">
        <f t="shared" si="158"/>
        <v>19.12162033</v>
      </c>
      <c r="O183" s="159">
        <f t="shared" si="158"/>
        <v>39.30273385</v>
      </c>
      <c r="P183" s="159">
        <f t="shared" si="158"/>
        <v>25.58169057</v>
      </c>
      <c r="Q183" s="159">
        <f t="shared" si="158"/>
        <v>18.96187768</v>
      </c>
      <c r="R183" s="159">
        <f t="shared" si="158"/>
        <v>15.06379626</v>
      </c>
      <c r="S183" s="159">
        <f t="shared" si="158"/>
        <v>12.49511694</v>
      </c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65">
        <v>19.0</v>
      </c>
      <c r="C184" s="166" t="s">
        <v>29</v>
      </c>
      <c r="D184" s="179">
        <f t="shared" ref="D184:S184" si="159">$B184/HLOOKUP(D$180,INDIRECT(CONCATENATE("ChestValue", SUBSTITUTE($B$179," ",""))),7,FALSE)</f>
        <v>115.4361872</v>
      </c>
      <c r="E184" s="176">
        <f t="shared" si="159"/>
        <v>107.4890031</v>
      </c>
      <c r="F184" s="176">
        <f t="shared" si="159"/>
        <v>98.84617649</v>
      </c>
      <c r="G184" s="176">
        <f t="shared" si="159"/>
        <v>91.48979221</v>
      </c>
      <c r="H184" s="176">
        <f t="shared" si="159"/>
        <v>85.15252441</v>
      </c>
      <c r="I184" s="176">
        <f t="shared" si="159"/>
        <v>79.63631702</v>
      </c>
      <c r="J184" s="177">
        <f t="shared" si="159"/>
        <v>70.95132617</v>
      </c>
      <c r="K184" s="177">
        <f t="shared" si="159"/>
        <v>64.98806981</v>
      </c>
      <c r="L184" s="177">
        <f t="shared" si="159"/>
        <v>59.94948664</v>
      </c>
      <c r="M184" s="177">
        <f t="shared" si="159"/>
        <v>55.63597941</v>
      </c>
      <c r="N184" s="177">
        <f t="shared" si="159"/>
        <v>51.90154089</v>
      </c>
      <c r="O184" s="164">
        <f t="shared" si="159"/>
        <v>106.678849</v>
      </c>
      <c r="P184" s="164">
        <f t="shared" si="159"/>
        <v>69.43601727</v>
      </c>
      <c r="Q184" s="164">
        <f t="shared" si="159"/>
        <v>51.46795371</v>
      </c>
      <c r="R184" s="164">
        <f t="shared" si="159"/>
        <v>40.887447</v>
      </c>
      <c r="S184" s="164">
        <f t="shared" si="159"/>
        <v>33.9153174</v>
      </c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65">
        <v>31.0</v>
      </c>
      <c r="C185" s="166" t="s">
        <v>57</v>
      </c>
      <c r="D185" s="178">
        <f t="shared" ref="D185:S185" si="160">$B185/HLOOKUP(D$180,INDIRECT(CONCATENATE("ChestValue", SUBSTITUTE($B$179," ",""))),7,FALSE)</f>
        <v>188.3432528</v>
      </c>
      <c r="E185" s="174">
        <f t="shared" si="160"/>
        <v>175.3767946</v>
      </c>
      <c r="F185" s="174">
        <f t="shared" si="160"/>
        <v>161.2753406</v>
      </c>
      <c r="G185" s="174">
        <f t="shared" si="160"/>
        <v>149.2728189</v>
      </c>
      <c r="H185" s="174">
        <f t="shared" si="160"/>
        <v>138.9330661</v>
      </c>
      <c r="I185" s="174">
        <f t="shared" si="160"/>
        <v>129.9329383</v>
      </c>
      <c r="J185" s="175">
        <f t="shared" si="160"/>
        <v>115.7626901</v>
      </c>
      <c r="K185" s="175">
        <f t="shared" si="160"/>
        <v>106.0331665</v>
      </c>
      <c r="L185" s="175">
        <f t="shared" si="160"/>
        <v>97.81232031</v>
      </c>
      <c r="M185" s="175">
        <f t="shared" si="160"/>
        <v>90.77449272</v>
      </c>
      <c r="N185" s="175">
        <f t="shared" si="160"/>
        <v>84.68146145</v>
      </c>
      <c r="O185" s="159">
        <f t="shared" si="160"/>
        <v>174.0549642</v>
      </c>
      <c r="P185" s="159">
        <f t="shared" si="160"/>
        <v>113.290344</v>
      </c>
      <c r="Q185" s="159">
        <f t="shared" si="160"/>
        <v>83.97402973</v>
      </c>
      <c r="R185" s="159">
        <f t="shared" si="160"/>
        <v>66.71109773</v>
      </c>
      <c r="S185" s="159">
        <f t="shared" si="160"/>
        <v>55.33551786</v>
      </c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65">
        <v>43.0</v>
      </c>
      <c r="C186" s="166" t="s">
        <v>58</v>
      </c>
      <c r="D186" s="179">
        <f t="shared" ref="D186:S186" si="161">$B186/HLOOKUP(D$180,INDIRECT(CONCATENATE("ChestValue", SUBSTITUTE($B$179," ",""))),7,FALSE)</f>
        <v>261.2503184</v>
      </c>
      <c r="E186" s="176">
        <f t="shared" si="161"/>
        <v>243.264586</v>
      </c>
      <c r="F186" s="176">
        <f t="shared" si="161"/>
        <v>223.7045047</v>
      </c>
      <c r="G186" s="176">
        <f t="shared" si="161"/>
        <v>207.0558455</v>
      </c>
      <c r="H186" s="176">
        <f t="shared" si="161"/>
        <v>192.7136079</v>
      </c>
      <c r="I186" s="176">
        <f t="shared" si="161"/>
        <v>180.2295596</v>
      </c>
      <c r="J186" s="177">
        <f t="shared" si="161"/>
        <v>160.574054</v>
      </c>
      <c r="K186" s="177">
        <f t="shared" si="161"/>
        <v>147.0782633</v>
      </c>
      <c r="L186" s="177">
        <f t="shared" si="161"/>
        <v>135.675154</v>
      </c>
      <c r="M186" s="177">
        <f t="shared" si="161"/>
        <v>125.913006</v>
      </c>
      <c r="N186" s="177">
        <f t="shared" si="161"/>
        <v>117.461382</v>
      </c>
      <c r="O186" s="164">
        <f t="shared" si="161"/>
        <v>241.4310793</v>
      </c>
      <c r="P186" s="164">
        <f t="shared" si="161"/>
        <v>157.1446707</v>
      </c>
      <c r="Q186" s="164">
        <f t="shared" si="161"/>
        <v>116.4801058</v>
      </c>
      <c r="R186" s="164">
        <f t="shared" si="161"/>
        <v>92.53474847</v>
      </c>
      <c r="S186" s="164">
        <f t="shared" si="161"/>
        <v>76.75571833</v>
      </c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67">
        <v>100.0</v>
      </c>
      <c r="C187" s="168" t="s">
        <v>31</v>
      </c>
      <c r="D187" s="178">
        <f t="shared" ref="D187:S187" si="162">$B187/HLOOKUP(D$180,INDIRECT(CONCATENATE("ChestValue", SUBSTITUTE($B$179," ",""))),7,FALSE)</f>
        <v>607.55888</v>
      </c>
      <c r="E187" s="174">
        <f t="shared" si="162"/>
        <v>565.7315953</v>
      </c>
      <c r="F187" s="174">
        <f t="shared" si="162"/>
        <v>520.2430341</v>
      </c>
      <c r="G187" s="174">
        <f t="shared" si="162"/>
        <v>481.5252222</v>
      </c>
      <c r="H187" s="174">
        <f t="shared" si="162"/>
        <v>448.1711811</v>
      </c>
      <c r="I187" s="174">
        <f t="shared" si="162"/>
        <v>419.1385106</v>
      </c>
      <c r="J187" s="175">
        <f t="shared" si="162"/>
        <v>373.4280325</v>
      </c>
      <c r="K187" s="175">
        <f t="shared" si="162"/>
        <v>342.0424727</v>
      </c>
      <c r="L187" s="175">
        <f t="shared" si="162"/>
        <v>315.5236139</v>
      </c>
      <c r="M187" s="175">
        <f t="shared" si="162"/>
        <v>292.8209442</v>
      </c>
      <c r="N187" s="175">
        <f t="shared" si="162"/>
        <v>273.1660047</v>
      </c>
      <c r="O187" s="159">
        <f t="shared" si="162"/>
        <v>561.4676264</v>
      </c>
      <c r="P187" s="159">
        <f t="shared" si="162"/>
        <v>365.4527225</v>
      </c>
      <c r="Q187" s="159">
        <f t="shared" si="162"/>
        <v>270.8839669</v>
      </c>
      <c r="R187" s="159">
        <f t="shared" si="162"/>
        <v>215.1970895</v>
      </c>
      <c r="S187" s="159">
        <f t="shared" si="162"/>
        <v>178.5016705</v>
      </c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67">
        <v>157.0</v>
      </c>
      <c r="C188" s="168" t="s">
        <v>59</v>
      </c>
      <c r="D188" s="179">
        <f t="shared" ref="D188:S188" si="163">$B188/HLOOKUP(D$180,INDIRECT(CONCATENATE("ChestValue", SUBSTITUTE($B$179," ",""))),7,FALSE)</f>
        <v>953.8674416</v>
      </c>
      <c r="E188" s="176">
        <f t="shared" si="163"/>
        <v>888.1986047</v>
      </c>
      <c r="F188" s="176">
        <f t="shared" si="163"/>
        <v>816.7815636</v>
      </c>
      <c r="G188" s="176">
        <f t="shared" si="163"/>
        <v>755.9945988</v>
      </c>
      <c r="H188" s="176">
        <f t="shared" si="163"/>
        <v>703.6287543</v>
      </c>
      <c r="I188" s="176">
        <f t="shared" si="163"/>
        <v>658.0474617</v>
      </c>
      <c r="J188" s="177">
        <f t="shared" si="163"/>
        <v>586.282011</v>
      </c>
      <c r="K188" s="177">
        <f t="shared" si="163"/>
        <v>537.0066821</v>
      </c>
      <c r="L188" s="177">
        <f t="shared" si="163"/>
        <v>495.3720738</v>
      </c>
      <c r="M188" s="177">
        <f t="shared" si="163"/>
        <v>459.7288825</v>
      </c>
      <c r="N188" s="177">
        <f t="shared" si="163"/>
        <v>428.8706273</v>
      </c>
      <c r="O188" s="164">
        <f t="shared" si="163"/>
        <v>881.5041734</v>
      </c>
      <c r="P188" s="164">
        <f t="shared" si="163"/>
        <v>573.7607743</v>
      </c>
      <c r="Q188" s="164">
        <f t="shared" si="163"/>
        <v>425.287828</v>
      </c>
      <c r="R188" s="164">
        <f t="shared" si="163"/>
        <v>337.8594304</v>
      </c>
      <c r="S188" s="164">
        <f t="shared" si="163"/>
        <v>280.2476227</v>
      </c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67">
        <v>214.0</v>
      </c>
      <c r="C189" s="168" t="s">
        <v>60</v>
      </c>
      <c r="D189" s="178">
        <f t="shared" ref="D189:S189" si="164">$B189/HLOOKUP(D$180,INDIRECT(CONCATENATE("ChestValue", SUBSTITUTE($B$179," ",""))),7,FALSE)</f>
        <v>1300.176003</v>
      </c>
      <c r="E189" s="174">
        <f t="shared" si="164"/>
        <v>1210.665614</v>
      </c>
      <c r="F189" s="174">
        <f t="shared" si="164"/>
        <v>1113.320093</v>
      </c>
      <c r="G189" s="174">
        <f t="shared" si="164"/>
        <v>1030.463975</v>
      </c>
      <c r="H189" s="174">
        <f t="shared" si="164"/>
        <v>959.0863275</v>
      </c>
      <c r="I189" s="174">
        <f t="shared" si="164"/>
        <v>896.9564127</v>
      </c>
      <c r="J189" s="175">
        <f t="shared" si="164"/>
        <v>799.1359895</v>
      </c>
      <c r="K189" s="175">
        <f t="shared" si="164"/>
        <v>731.9708915</v>
      </c>
      <c r="L189" s="175">
        <f t="shared" si="164"/>
        <v>675.2205338</v>
      </c>
      <c r="M189" s="175">
        <f t="shared" si="164"/>
        <v>626.6368207</v>
      </c>
      <c r="N189" s="175">
        <f t="shared" si="164"/>
        <v>584.57525</v>
      </c>
      <c r="O189" s="159">
        <f t="shared" si="164"/>
        <v>1201.54072</v>
      </c>
      <c r="P189" s="159">
        <f t="shared" si="164"/>
        <v>782.0688261</v>
      </c>
      <c r="Q189" s="159">
        <f t="shared" si="164"/>
        <v>579.6916891</v>
      </c>
      <c r="R189" s="159">
        <f t="shared" si="164"/>
        <v>460.5217714</v>
      </c>
      <c r="S189" s="159">
        <f t="shared" si="164"/>
        <v>381.9935749</v>
      </c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67">
        <v>271.0</v>
      </c>
      <c r="C190" s="168" t="s">
        <v>61</v>
      </c>
      <c r="D190" s="179">
        <f t="shared" ref="D190:S190" si="165">$B190/HLOOKUP(D$180,INDIRECT(CONCATENATE("ChestValue", SUBSTITUTE($B$179," ",""))),7,FALSE)</f>
        <v>1646.484565</v>
      </c>
      <c r="E190" s="176">
        <f t="shared" si="165"/>
        <v>1533.132623</v>
      </c>
      <c r="F190" s="176">
        <f t="shared" si="165"/>
        <v>1409.858623</v>
      </c>
      <c r="G190" s="176">
        <f t="shared" si="165"/>
        <v>1304.933352</v>
      </c>
      <c r="H190" s="176">
        <f t="shared" si="165"/>
        <v>1214.543901</v>
      </c>
      <c r="I190" s="176">
        <f t="shared" si="165"/>
        <v>1135.865364</v>
      </c>
      <c r="J190" s="177">
        <f t="shared" si="165"/>
        <v>1011.989968</v>
      </c>
      <c r="K190" s="177">
        <f t="shared" si="165"/>
        <v>926.935101</v>
      </c>
      <c r="L190" s="177">
        <f t="shared" si="165"/>
        <v>855.0689937</v>
      </c>
      <c r="M190" s="177">
        <f t="shared" si="165"/>
        <v>793.5447589</v>
      </c>
      <c r="N190" s="177">
        <f t="shared" si="165"/>
        <v>740.2798727</v>
      </c>
      <c r="O190" s="164">
        <f t="shared" si="165"/>
        <v>1521.577267</v>
      </c>
      <c r="P190" s="164">
        <f t="shared" si="165"/>
        <v>990.3768779</v>
      </c>
      <c r="Q190" s="164">
        <f t="shared" si="165"/>
        <v>734.0955502</v>
      </c>
      <c r="R190" s="164">
        <f t="shared" si="165"/>
        <v>583.1841124</v>
      </c>
      <c r="S190" s="164">
        <f t="shared" si="165"/>
        <v>483.7395271</v>
      </c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69">
        <v>571.0</v>
      </c>
      <c r="C191" s="170" t="s">
        <v>32</v>
      </c>
      <c r="D191" s="178">
        <f t="shared" ref="D191:S191" si="166">$B191/HLOOKUP(D$180,INDIRECT(CONCATENATE("ChestValue", SUBSTITUTE($B$179," ",""))),7,FALSE)</f>
        <v>3469.161205</v>
      </c>
      <c r="E191" s="174">
        <f t="shared" si="166"/>
        <v>3230.327409</v>
      </c>
      <c r="F191" s="174">
        <f t="shared" si="166"/>
        <v>2970.587725</v>
      </c>
      <c r="G191" s="174">
        <f t="shared" si="166"/>
        <v>2749.509019</v>
      </c>
      <c r="H191" s="174">
        <f t="shared" si="166"/>
        <v>2559.057444</v>
      </c>
      <c r="I191" s="174">
        <f t="shared" si="166"/>
        <v>2393.280896</v>
      </c>
      <c r="J191" s="175">
        <f t="shared" si="166"/>
        <v>2132.274066</v>
      </c>
      <c r="K191" s="175">
        <f t="shared" si="166"/>
        <v>1953.062519</v>
      </c>
      <c r="L191" s="175">
        <f t="shared" si="166"/>
        <v>1801.639835</v>
      </c>
      <c r="M191" s="175">
        <f t="shared" si="166"/>
        <v>1672.007592</v>
      </c>
      <c r="N191" s="175">
        <f t="shared" si="166"/>
        <v>1559.777887</v>
      </c>
      <c r="O191" s="159">
        <f t="shared" si="166"/>
        <v>3205.980147</v>
      </c>
      <c r="P191" s="159">
        <f t="shared" si="166"/>
        <v>2086.735045</v>
      </c>
      <c r="Q191" s="159">
        <f t="shared" si="166"/>
        <v>1546.747451</v>
      </c>
      <c r="R191" s="159">
        <f t="shared" si="166"/>
        <v>1228.775381</v>
      </c>
      <c r="S191" s="159">
        <f t="shared" si="166"/>
        <v>1019.244539</v>
      </c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69">
        <v>871.0</v>
      </c>
      <c r="C192" s="170" t="s">
        <v>62</v>
      </c>
      <c r="D192" s="179">
        <f t="shared" ref="D192:S192" si="167">$B192/HLOOKUP(D$180,INDIRECT(CONCATENATE("ChestValue", SUBSTITUTE($B$179," ",""))),7,FALSE)</f>
        <v>5291.837845</v>
      </c>
      <c r="E192" s="176">
        <f t="shared" si="167"/>
        <v>4927.522195</v>
      </c>
      <c r="F192" s="176">
        <f t="shared" si="167"/>
        <v>4531.316827</v>
      </c>
      <c r="G192" s="176">
        <f t="shared" si="167"/>
        <v>4194.084685</v>
      </c>
      <c r="H192" s="176">
        <f t="shared" si="167"/>
        <v>3903.570987</v>
      </c>
      <c r="I192" s="176">
        <f t="shared" si="167"/>
        <v>3650.696428</v>
      </c>
      <c r="J192" s="177">
        <f t="shared" si="167"/>
        <v>3252.558163</v>
      </c>
      <c r="K192" s="177">
        <f t="shared" si="167"/>
        <v>2979.189937</v>
      </c>
      <c r="L192" s="177">
        <f t="shared" si="167"/>
        <v>2748.210677</v>
      </c>
      <c r="M192" s="177">
        <f t="shared" si="167"/>
        <v>2550.470424</v>
      </c>
      <c r="N192" s="177">
        <f t="shared" si="167"/>
        <v>2379.275901</v>
      </c>
      <c r="O192" s="164">
        <f t="shared" si="167"/>
        <v>4890.383026</v>
      </c>
      <c r="P192" s="164">
        <f t="shared" si="167"/>
        <v>3183.093213</v>
      </c>
      <c r="Q192" s="164">
        <f t="shared" si="167"/>
        <v>2359.399351</v>
      </c>
      <c r="R192" s="164">
        <f t="shared" si="167"/>
        <v>1874.366649</v>
      </c>
      <c r="S192" s="164">
        <f t="shared" si="167"/>
        <v>1554.74955</v>
      </c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69">
        <v>1171.0</v>
      </c>
      <c r="C193" s="170" t="s">
        <v>63</v>
      </c>
      <c r="D193" s="178">
        <f t="shared" ref="D193:S193" si="168">$B193/HLOOKUP(D$180,INDIRECT(CONCATENATE("ChestValue", SUBSTITUTE($B$179," ",""))),7,FALSE)</f>
        <v>7114.514484</v>
      </c>
      <c r="E193" s="174">
        <f t="shared" si="168"/>
        <v>6624.716982</v>
      </c>
      <c r="F193" s="174">
        <f t="shared" si="168"/>
        <v>6092.04593</v>
      </c>
      <c r="G193" s="174">
        <f t="shared" si="168"/>
        <v>5638.660351</v>
      </c>
      <c r="H193" s="174">
        <f t="shared" si="168"/>
        <v>5248.084531</v>
      </c>
      <c r="I193" s="174">
        <f t="shared" si="168"/>
        <v>4908.111959</v>
      </c>
      <c r="J193" s="175">
        <f t="shared" si="168"/>
        <v>4372.84226</v>
      </c>
      <c r="K193" s="175">
        <f t="shared" si="168"/>
        <v>4005.317355</v>
      </c>
      <c r="L193" s="175">
        <f t="shared" si="168"/>
        <v>3694.781519</v>
      </c>
      <c r="M193" s="175">
        <f t="shared" si="168"/>
        <v>3428.933257</v>
      </c>
      <c r="N193" s="175">
        <f t="shared" si="168"/>
        <v>3198.773915</v>
      </c>
      <c r="O193" s="159">
        <f t="shared" si="168"/>
        <v>6574.785905</v>
      </c>
      <c r="P193" s="159">
        <f t="shared" si="168"/>
        <v>4279.45138</v>
      </c>
      <c r="Q193" s="159">
        <f t="shared" si="168"/>
        <v>3172.051252</v>
      </c>
      <c r="R193" s="159">
        <f t="shared" si="168"/>
        <v>2519.957918</v>
      </c>
      <c r="S193" s="159">
        <f t="shared" si="168"/>
        <v>2090.254562</v>
      </c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69">
        <v>1471.0</v>
      </c>
      <c r="C194" s="170" t="s">
        <v>64</v>
      </c>
      <c r="D194" s="179">
        <f t="shared" ref="D194:S194" si="169">$B194/HLOOKUP(D$180,INDIRECT(CONCATENATE("ChestValue", SUBSTITUTE($B$179," ",""))),7,FALSE)</f>
        <v>8937.191124</v>
      </c>
      <c r="E194" s="176">
        <f t="shared" si="169"/>
        <v>8321.911768</v>
      </c>
      <c r="F194" s="176">
        <f t="shared" si="169"/>
        <v>7652.775032</v>
      </c>
      <c r="G194" s="176">
        <f t="shared" si="169"/>
        <v>7083.236018</v>
      </c>
      <c r="H194" s="176">
        <f t="shared" si="169"/>
        <v>6592.598074</v>
      </c>
      <c r="I194" s="176">
        <f t="shared" si="169"/>
        <v>6165.527491</v>
      </c>
      <c r="J194" s="177">
        <f t="shared" si="169"/>
        <v>5493.126358</v>
      </c>
      <c r="K194" s="177">
        <f t="shared" si="169"/>
        <v>5031.444773</v>
      </c>
      <c r="L194" s="177">
        <f t="shared" si="169"/>
        <v>4641.352361</v>
      </c>
      <c r="M194" s="177">
        <f t="shared" si="169"/>
        <v>4307.39609</v>
      </c>
      <c r="N194" s="177">
        <f t="shared" si="169"/>
        <v>4018.271929</v>
      </c>
      <c r="O194" s="164">
        <f t="shared" si="169"/>
        <v>8259.188784</v>
      </c>
      <c r="P194" s="164">
        <f t="shared" si="169"/>
        <v>5375.809548</v>
      </c>
      <c r="Q194" s="164">
        <f t="shared" si="169"/>
        <v>3984.703153</v>
      </c>
      <c r="R194" s="164">
        <f t="shared" si="169"/>
        <v>3165.549186</v>
      </c>
      <c r="S194" s="164">
        <f t="shared" si="169"/>
        <v>2625.759573</v>
      </c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69">
        <v>1771.0</v>
      </c>
      <c r="C195" s="170" t="s">
        <v>65</v>
      </c>
      <c r="D195" s="178">
        <f t="shared" ref="D195:S195" si="170">$B195/HLOOKUP(D$180,INDIRECT(CONCATENATE("ChestValue", SUBSTITUTE($B$179," ",""))),7,FALSE)</f>
        <v>10759.86776</v>
      </c>
      <c r="E195" s="174">
        <f t="shared" si="170"/>
        <v>10019.10655</v>
      </c>
      <c r="F195" s="174">
        <f t="shared" si="170"/>
        <v>9213.504135</v>
      </c>
      <c r="G195" s="174">
        <f t="shared" si="170"/>
        <v>8527.811684</v>
      </c>
      <c r="H195" s="174">
        <f t="shared" si="170"/>
        <v>7937.111617</v>
      </c>
      <c r="I195" s="174">
        <f t="shared" si="170"/>
        <v>7422.943023</v>
      </c>
      <c r="J195" s="175">
        <f t="shared" si="170"/>
        <v>6613.410455</v>
      </c>
      <c r="K195" s="175">
        <f t="shared" si="170"/>
        <v>6057.572191</v>
      </c>
      <c r="L195" s="175">
        <f t="shared" si="170"/>
        <v>5587.923202</v>
      </c>
      <c r="M195" s="175">
        <f t="shared" si="170"/>
        <v>5185.858923</v>
      </c>
      <c r="N195" s="175">
        <f t="shared" si="170"/>
        <v>4837.769943</v>
      </c>
      <c r="O195" s="159">
        <f t="shared" si="170"/>
        <v>9943.591663</v>
      </c>
      <c r="P195" s="159">
        <f t="shared" si="170"/>
        <v>6472.167715</v>
      </c>
      <c r="Q195" s="159">
        <f t="shared" si="170"/>
        <v>4797.355053</v>
      </c>
      <c r="R195" s="159">
        <f t="shared" si="170"/>
        <v>3811.140454</v>
      </c>
      <c r="S195" s="159">
        <f t="shared" si="170"/>
        <v>3161.264585</v>
      </c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71">
        <v>3484.0</v>
      </c>
      <c r="C196" s="172" t="s">
        <v>33</v>
      </c>
      <c r="D196" s="179">
        <f t="shared" ref="D196:S196" si="171">$B196/HLOOKUP(D$180,INDIRECT(CONCATENATE("ChestValue", SUBSTITUTE($B$179," ",""))),7,FALSE)</f>
        <v>21167.35138</v>
      </c>
      <c r="E196" s="176">
        <f t="shared" si="171"/>
        <v>19710.08878</v>
      </c>
      <c r="F196" s="176">
        <f t="shared" si="171"/>
        <v>18125.26731</v>
      </c>
      <c r="G196" s="176">
        <f t="shared" si="171"/>
        <v>16776.33874</v>
      </c>
      <c r="H196" s="176">
        <f t="shared" si="171"/>
        <v>15614.28395</v>
      </c>
      <c r="I196" s="176">
        <f t="shared" si="171"/>
        <v>14602.78571</v>
      </c>
      <c r="J196" s="177">
        <f t="shared" si="171"/>
        <v>13010.23265</v>
      </c>
      <c r="K196" s="177">
        <f t="shared" si="171"/>
        <v>11916.75975</v>
      </c>
      <c r="L196" s="177">
        <f t="shared" si="171"/>
        <v>10992.84271</v>
      </c>
      <c r="M196" s="177">
        <f t="shared" si="171"/>
        <v>10201.8817</v>
      </c>
      <c r="N196" s="177">
        <f t="shared" si="171"/>
        <v>9517.103603</v>
      </c>
      <c r="O196" s="164">
        <f t="shared" si="171"/>
        <v>19561.5321</v>
      </c>
      <c r="P196" s="164">
        <f t="shared" si="171"/>
        <v>12732.37285</v>
      </c>
      <c r="Q196" s="164">
        <f t="shared" si="171"/>
        <v>9437.597406</v>
      </c>
      <c r="R196" s="164">
        <f t="shared" si="171"/>
        <v>7497.466597</v>
      </c>
      <c r="S196" s="164">
        <f t="shared" si="171"/>
        <v>6218.998201</v>
      </c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71">
        <v>5197.0</v>
      </c>
      <c r="C197" s="172" t="s">
        <v>66</v>
      </c>
      <c r="D197" s="178">
        <f t="shared" ref="D197:S197" si="172">$B197/HLOOKUP(D$180,INDIRECT(CONCATENATE("ChestValue", SUBSTITUTE($B$179," ",""))),7,FALSE)</f>
        <v>31574.83499</v>
      </c>
      <c r="E197" s="174">
        <f t="shared" si="172"/>
        <v>29401.07101</v>
      </c>
      <c r="F197" s="174">
        <f t="shared" si="172"/>
        <v>27037.03048</v>
      </c>
      <c r="G197" s="174">
        <f t="shared" si="172"/>
        <v>25024.8658</v>
      </c>
      <c r="H197" s="174">
        <f t="shared" si="172"/>
        <v>23291.45628</v>
      </c>
      <c r="I197" s="174">
        <f t="shared" si="172"/>
        <v>21782.6284</v>
      </c>
      <c r="J197" s="175">
        <f t="shared" si="172"/>
        <v>19407.05485</v>
      </c>
      <c r="K197" s="175">
        <f t="shared" si="172"/>
        <v>17775.94731</v>
      </c>
      <c r="L197" s="175">
        <f t="shared" si="172"/>
        <v>16397.76221</v>
      </c>
      <c r="M197" s="175">
        <f t="shared" si="172"/>
        <v>15217.90447</v>
      </c>
      <c r="N197" s="175">
        <f t="shared" si="172"/>
        <v>14196.43726</v>
      </c>
      <c r="O197" s="159">
        <f t="shared" si="172"/>
        <v>29179.47254</v>
      </c>
      <c r="P197" s="159">
        <f t="shared" si="172"/>
        <v>18992.57799</v>
      </c>
      <c r="Q197" s="159">
        <f t="shared" si="172"/>
        <v>14077.83976</v>
      </c>
      <c r="R197" s="159">
        <f t="shared" si="172"/>
        <v>11183.79274</v>
      </c>
      <c r="S197" s="159">
        <f t="shared" si="172"/>
        <v>9276.731817</v>
      </c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71">
        <v>6910.0</v>
      </c>
      <c r="C198" s="172" t="s">
        <v>67</v>
      </c>
      <c r="D198" s="179">
        <f t="shared" ref="D198:S198" si="173">$B198/HLOOKUP(D$180,INDIRECT(CONCATENATE("ChestValue", SUBSTITUTE($B$179," ",""))),7,FALSE)</f>
        <v>41982.31861</v>
      </c>
      <c r="E198" s="176">
        <f t="shared" si="173"/>
        <v>39092.05324</v>
      </c>
      <c r="F198" s="176">
        <f t="shared" si="173"/>
        <v>35948.79366</v>
      </c>
      <c r="G198" s="176">
        <f t="shared" si="173"/>
        <v>33273.39285</v>
      </c>
      <c r="H198" s="176">
        <f t="shared" si="173"/>
        <v>30968.62861</v>
      </c>
      <c r="I198" s="176">
        <f t="shared" si="173"/>
        <v>28962.47108</v>
      </c>
      <c r="J198" s="177">
        <f t="shared" si="173"/>
        <v>25803.87704</v>
      </c>
      <c r="K198" s="177">
        <f t="shared" si="173"/>
        <v>23635.13486</v>
      </c>
      <c r="L198" s="177">
        <f t="shared" si="173"/>
        <v>21802.68172</v>
      </c>
      <c r="M198" s="177">
        <f t="shared" si="173"/>
        <v>20233.92725</v>
      </c>
      <c r="N198" s="177">
        <f t="shared" si="173"/>
        <v>18875.77092</v>
      </c>
      <c r="O198" s="164">
        <f t="shared" si="173"/>
        <v>38797.41298</v>
      </c>
      <c r="P198" s="164">
        <f t="shared" si="173"/>
        <v>25252.78312</v>
      </c>
      <c r="Q198" s="164">
        <f t="shared" si="173"/>
        <v>18718.08211</v>
      </c>
      <c r="R198" s="164">
        <f t="shared" si="173"/>
        <v>14870.11888</v>
      </c>
      <c r="S198" s="164">
        <f t="shared" si="173"/>
        <v>12334.46543</v>
      </c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71">
        <v>8623.0</v>
      </c>
      <c r="C199" s="172" t="s">
        <v>68</v>
      </c>
      <c r="D199" s="178">
        <f t="shared" ref="D199:S199" si="174">$B199/HLOOKUP(D$180,INDIRECT(CONCATENATE("ChestValue", SUBSTITUTE($B$179," ",""))),7,FALSE)</f>
        <v>52389.80222</v>
      </c>
      <c r="E199" s="174">
        <f t="shared" si="174"/>
        <v>48783.03547</v>
      </c>
      <c r="F199" s="174">
        <f t="shared" si="174"/>
        <v>44860.55683</v>
      </c>
      <c r="G199" s="174">
        <f t="shared" si="174"/>
        <v>41521.91991</v>
      </c>
      <c r="H199" s="174">
        <f t="shared" si="174"/>
        <v>38645.80095</v>
      </c>
      <c r="I199" s="174">
        <f t="shared" si="174"/>
        <v>36142.31377</v>
      </c>
      <c r="J199" s="175">
        <f t="shared" si="174"/>
        <v>32200.69924</v>
      </c>
      <c r="K199" s="175">
        <f t="shared" si="174"/>
        <v>29494.32242</v>
      </c>
      <c r="L199" s="175">
        <f t="shared" si="174"/>
        <v>27207.60123</v>
      </c>
      <c r="M199" s="175">
        <f t="shared" si="174"/>
        <v>25249.95002</v>
      </c>
      <c r="N199" s="175">
        <f t="shared" si="174"/>
        <v>23555.10458</v>
      </c>
      <c r="O199" s="159">
        <f t="shared" si="174"/>
        <v>48415.35342</v>
      </c>
      <c r="P199" s="159">
        <f t="shared" si="174"/>
        <v>31512.98826</v>
      </c>
      <c r="Q199" s="159">
        <f t="shared" si="174"/>
        <v>23358.32446</v>
      </c>
      <c r="R199" s="159">
        <f t="shared" si="174"/>
        <v>18556.44502</v>
      </c>
      <c r="S199" s="159">
        <f t="shared" si="174"/>
        <v>15392.19905</v>
      </c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71">
        <v>10336.0</v>
      </c>
      <c r="C200" s="172" t="s">
        <v>69</v>
      </c>
      <c r="D200" s="179">
        <f t="shared" ref="D200:S200" si="175">$B200/HLOOKUP(D$180,INDIRECT(CONCATENATE("ChestValue", SUBSTITUTE($B$179," ",""))),7,FALSE)</f>
        <v>62797.28583</v>
      </c>
      <c r="E200" s="176">
        <f t="shared" si="175"/>
        <v>58474.01769</v>
      </c>
      <c r="F200" s="176">
        <f t="shared" si="175"/>
        <v>53772.32001</v>
      </c>
      <c r="G200" s="176">
        <f t="shared" si="175"/>
        <v>49770.44696</v>
      </c>
      <c r="H200" s="176">
        <f t="shared" si="175"/>
        <v>46322.97328</v>
      </c>
      <c r="I200" s="176">
        <f t="shared" si="175"/>
        <v>43322.15646</v>
      </c>
      <c r="J200" s="177">
        <f t="shared" si="175"/>
        <v>38597.52144</v>
      </c>
      <c r="K200" s="177">
        <f t="shared" si="175"/>
        <v>35353.50998</v>
      </c>
      <c r="L200" s="177">
        <f t="shared" si="175"/>
        <v>32612.52073</v>
      </c>
      <c r="M200" s="177">
        <f t="shared" si="175"/>
        <v>30265.9728</v>
      </c>
      <c r="N200" s="177">
        <f t="shared" si="175"/>
        <v>28234.43824</v>
      </c>
      <c r="O200" s="164">
        <f t="shared" si="175"/>
        <v>58033.29386</v>
      </c>
      <c r="P200" s="164">
        <f t="shared" si="175"/>
        <v>37773.19339</v>
      </c>
      <c r="Q200" s="164">
        <f t="shared" si="175"/>
        <v>27998.56682</v>
      </c>
      <c r="R200" s="164">
        <f t="shared" si="175"/>
        <v>22242.77117</v>
      </c>
      <c r="S200" s="164">
        <f t="shared" si="175"/>
        <v>18449.93267</v>
      </c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71">
        <v>12049.0</v>
      </c>
      <c r="C201" s="172" t="s">
        <v>70</v>
      </c>
      <c r="D201" s="178">
        <f t="shared" ref="D201:S201" si="176">$B201/HLOOKUP(D$180,INDIRECT(CONCATENATE("ChestValue", SUBSTITUTE($B$179," ",""))),7,FALSE)</f>
        <v>73204.76945</v>
      </c>
      <c r="E201" s="174">
        <f t="shared" si="176"/>
        <v>68164.99992</v>
      </c>
      <c r="F201" s="174">
        <f t="shared" si="176"/>
        <v>62684.08318</v>
      </c>
      <c r="G201" s="174">
        <f t="shared" si="176"/>
        <v>58018.97402</v>
      </c>
      <c r="H201" s="174">
        <f t="shared" si="176"/>
        <v>54000.14561</v>
      </c>
      <c r="I201" s="174">
        <f t="shared" si="176"/>
        <v>50501.99915</v>
      </c>
      <c r="J201" s="175">
        <f t="shared" si="176"/>
        <v>44994.34363</v>
      </c>
      <c r="K201" s="175">
        <f t="shared" si="176"/>
        <v>41212.69753</v>
      </c>
      <c r="L201" s="175">
        <f t="shared" si="176"/>
        <v>38017.44024</v>
      </c>
      <c r="M201" s="175">
        <f t="shared" si="176"/>
        <v>35281.99557</v>
      </c>
      <c r="N201" s="175">
        <f t="shared" si="176"/>
        <v>32913.7719</v>
      </c>
      <c r="O201" s="159">
        <f t="shared" si="176"/>
        <v>67651.2343</v>
      </c>
      <c r="P201" s="159">
        <f t="shared" si="176"/>
        <v>44033.39853</v>
      </c>
      <c r="Q201" s="159">
        <f t="shared" si="176"/>
        <v>32638.80917</v>
      </c>
      <c r="R201" s="159">
        <f t="shared" si="176"/>
        <v>25929.09731</v>
      </c>
      <c r="S201" s="159">
        <f t="shared" si="176"/>
        <v>21507.66628</v>
      </c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10" t="s">
        <v>52</v>
      </c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10" t="s">
        <v>47</v>
      </c>
      <c r="D204" s="173"/>
      <c r="E204" s="150" t="s">
        <v>53</v>
      </c>
      <c r="J204" s="151" t="s">
        <v>54</v>
      </c>
      <c r="O204" s="152" t="s">
        <v>55</v>
      </c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D205" s="149">
        <v>5.0</v>
      </c>
      <c r="E205" s="39">
        <v>6.0</v>
      </c>
      <c r="F205" s="39">
        <v>7.0</v>
      </c>
      <c r="G205" s="39">
        <v>8.0</v>
      </c>
      <c r="H205" s="39">
        <v>9.0</v>
      </c>
      <c r="I205" s="39">
        <v>10.0</v>
      </c>
      <c r="J205" s="40">
        <v>11.0</v>
      </c>
      <c r="K205" s="40">
        <v>12.0</v>
      </c>
      <c r="L205" s="40">
        <v>13.0</v>
      </c>
      <c r="M205" s="40">
        <v>14.0</v>
      </c>
      <c r="N205" s="40">
        <v>15.0</v>
      </c>
      <c r="O205" s="153">
        <v>16.0</v>
      </c>
      <c r="P205" s="153">
        <v>17.0</v>
      </c>
      <c r="Q205" s="153">
        <v>18.0</v>
      </c>
      <c r="R205" s="153">
        <v>19.0</v>
      </c>
      <c r="S205" s="153">
        <v>20.0</v>
      </c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54">
        <v>1.0</v>
      </c>
      <c r="C206" s="155" t="s">
        <v>27</v>
      </c>
      <c r="D206" s="178">
        <f t="shared" ref="D206:S206" si="177">$B206/HLOOKUP(D$205,INDIRECT(CONCATENATE("ChestValue", SUBSTITUTE($B$204," ",""))),7,FALSE)</f>
        <v>3.149184499</v>
      </c>
      <c r="E206" s="174">
        <f t="shared" si="177"/>
        <v>2.861314334</v>
      </c>
      <c r="F206" s="174">
        <f t="shared" si="177"/>
        <v>2.621665241</v>
      </c>
      <c r="G206" s="174">
        <f t="shared" si="177"/>
        <v>2.419057339</v>
      </c>
      <c r="H206" s="174">
        <f t="shared" si="177"/>
        <v>2.245518835</v>
      </c>
      <c r="I206" s="174">
        <f t="shared" si="177"/>
        <v>2.095212347</v>
      </c>
      <c r="J206" s="175">
        <f t="shared" si="177"/>
        <v>1.884980173</v>
      </c>
      <c r="K206" s="175">
        <f t="shared" si="177"/>
        <v>1.725161733</v>
      </c>
      <c r="L206" s="175">
        <f t="shared" si="177"/>
        <v>1.59032564</v>
      </c>
      <c r="M206" s="175">
        <f t="shared" si="177"/>
        <v>1.475038787</v>
      </c>
      <c r="N206" s="175">
        <f t="shared" si="177"/>
        <v>1.37533702</v>
      </c>
      <c r="O206" s="159">
        <f t="shared" si="177"/>
        <v>5.614676264</v>
      </c>
      <c r="P206" s="159">
        <f t="shared" si="177"/>
        <v>3.654527225</v>
      </c>
      <c r="Q206" s="159">
        <f t="shared" si="177"/>
        <v>2.708839669</v>
      </c>
      <c r="R206" s="159">
        <f t="shared" si="177"/>
        <v>2.151970895</v>
      </c>
      <c r="S206" s="159">
        <f t="shared" si="177"/>
        <v>1.785016705</v>
      </c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60">
        <v>4.0</v>
      </c>
      <c r="C207" s="161" t="s">
        <v>28</v>
      </c>
      <c r="D207" s="179">
        <f t="shared" ref="D207:S207" si="178">$B207/HLOOKUP(D$205,INDIRECT(CONCATENATE("ChestValue", SUBSTITUTE($B$204," ",""))),7,FALSE)</f>
        <v>12.596738</v>
      </c>
      <c r="E207" s="176">
        <f t="shared" si="178"/>
        <v>11.44525733</v>
      </c>
      <c r="F207" s="176">
        <f t="shared" si="178"/>
        <v>10.48666096</v>
      </c>
      <c r="G207" s="176">
        <f t="shared" si="178"/>
        <v>9.676229354</v>
      </c>
      <c r="H207" s="176">
        <f t="shared" si="178"/>
        <v>8.982075342</v>
      </c>
      <c r="I207" s="176">
        <f t="shared" si="178"/>
        <v>8.380849387</v>
      </c>
      <c r="J207" s="177">
        <f t="shared" si="178"/>
        <v>7.539920691</v>
      </c>
      <c r="K207" s="177">
        <f t="shared" si="178"/>
        <v>6.900646933</v>
      </c>
      <c r="L207" s="177">
        <f t="shared" si="178"/>
        <v>6.361302561</v>
      </c>
      <c r="M207" s="177">
        <f t="shared" si="178"/>
        <v>5.900155149</v>
      </c>
      <c r="N207" s="177">
        <f t="shared" si="178"/>
        <v>5.501348079</v>
      </c>
      <c r="O207" s="164">
        <f t="shared" si="178"/>
        <v>22.45870506</v>
      </c>
      <c r="P207" s="164">
        <f t="shared" si="178"/>
        <v>14.6181089</v>
      </c>
      <c r="Q207" s="164">
        <f t="shared" si="178"/>
        <v>10.83535868</v>
      </c>
      <c r="R207" s="164">
        <f t="shared" si="178"/>
        <v>8.607883578</v>
      </c>
      <c r="S207" s="164">
        <f t="shared" si="178"/>
        <v>7.140066821</v>
      </c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60">
        <v>7.0</v>
      </c>
      <c r="C208" s="161" t="s">
        <v>56</v>
      </c>
      <c r="D208" s="178">
        <f t="shared" ref="D208:S208" si="179">$B208/HLOOKUP(D$205,INDIRECT(CONCATENATE("ChestValue", SUBSTITUTE($B$204," ",""))),7,FALSE)</f>
        <v>22.04429149</v>
      </c>
      <c r="E208" s="174">
        <f t="shared" si="179"/>
        <v>20.02920034</v>
      </c>
      <c r="F208" s="174">
        <f t="shared" si="179"/>
        <v>18.35165669</v>
      </c>
      <c r="G208" s="174">
        <f t="shared" si="179"/>
        <v>16.93340137</v>
      </c>
      <c r="H208" s="174">
        <f t="shared" si="179"/>
        <v>15.71863185</v>
      </c>
      <c r="I208" s="174">
        <f t="shared" si="179"/>
        <v>14.66648643</v>
      </c>
      <c r="J208" s="175">
        <f t="shared" si="179"/>
        <v>13.19486121</v>
      </c>
      <c r="K208" s="175">
        <f t="shared" si="179"/>
        <v>12.07613213</v>
      </c>
      <c r="L208" s="175">
        <f t="shared" si="179"/>
        <v>11.13227948</v>
      </c>
      <c r="M208" s="175">
        <f t="shared" si="179"/>
        <v>10.32527151</v>
      </c>
      <c r="N208" s="175">
        <f t="shared" si="179"/>
        <v>9.627359139</v>
      </c>
      <c r="O208" s="159">
        <f t="shared" si="179"/>
        <v>39.30273385</v>
      </c>
      <c r="P208" s="159">
        <f t="shared" si="179"/>
        <v>25.58169057</v>
      </c>
      <c r="Q208" s="159">
        <f t="shared" si="179"/>
        <v>18.96187768</v>
      </c>
      <c r="R208" s="159">
        <f t="shared" si="179"/>
        <v>15.06379626</v>
      </c>
      <c r="S208" s="159">
        <f t="shared" si="179"/>
        <v>12.49511694</v>
      </c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65">
        <v>19.0</v>
      </c>
      <c r="C209" s="166" t="s">
        <v>29</v>
      </c>
      <c r="D209" s="179">
        <f t="shared" ref="D209:S209" si="180">$B209/HLOOKUP(D$205,INDIRECT(CONCATENATE("ChestValue", SUBSTITUTE($B$204," ",""))),7,FALSE)</f>
        <v>59.83450549</v>
      </c>
      <c r="E209" s="176">
        <f t="shared" si="180"/>
        <v>54.36497234</v>
      </c>
      <c r="F209" s="176">
        <f t="shared" si="180"/>
        <v>49.81163958</v>
      </c>
      <c r="G209" s="176">
        <f t="shared" si="180"/>
        <v>45.96208943</v>
      </c>
      <c r="H209" s="176">
        <f t="shared" si="180"/>
        <v>42.66485787</v>
      </c>
      <c r="I209" s="176">
        <f t="shared" si="180"/>
        <v>39.80903459</v>
      </c>
      <c r="J209" s="177">
        <f t="shared" si="180"/>
        <v>35.81462328</v>
      </c>
      <c r="K209" s="177">
        <f t="shared" si="180"/>
        <v>32.77807293</v>
      </c>
      <c r="L209" s="177">
        <f t="shared" si="180"/>
        <v>30.21618716</v>
      </c>
      <c r="M209" s="177">
        <f t="shared" si="180"/>
        <v>28.02573696</v>
      </c>
      <c r="N209" s="177">
        <f t="shared" si="180"/>
        <v>26.13140338</v>
      </c>
      <c r="O209" s="164">
        <f t="shared" si="180"/>
        <v>106.678849</v>
      </c>
      <c r="P209" s="164">
        <f t="shared" si="180"/>
        <v>69.43601727</v>
      </c>
      <c r="Q209" s="164">
        <f t="shared" si="180"/>
        <v>51.46795371</v>
      </c>
      <c r="R209" s="164">
        <f t="shared" si="180"/>
        <v>40.887447</v>
      </c>
      <c r="S209" s="164">
        <f t="shared" si="180"/>
        <v>33.9153174</v>
      </c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65">
        <v>31.0</v>
      </c>
      <c r="C210" s="166" t="s">
        <v>57</v>
      </c>
      <c r="D210" s="178">
        <f t="shared" ref="D210:S210" si="181">$B210/HLOOKUP(D$205,INDIRECT(CONCATENATE("ChestValue", SUBSTITUTE($B$204," ",""))),7,FALSE)</f>
        <v>97.62471948</v>
      </c>
      <c r="E210" s="174">
        <f t="shared" si="181"/>
        <v>88.70074434</v>
      </c>
      <c r="F210" s="174">
        <f t="shared" si="181"/>
        <v>81.27162247</v>
      </c>
      <c r="G210" s="174">
        <f t="shared" si="181"/>
        <v>74.99077749</v>
      </c>
      <c r="H210" s="174">
        <f t="shared" si="181"/>
        <v>69.6110839</v>
      </c>
      <c r="I210" s="174">
        <f t="shared" si="181"/>
        <v>64.95158275</v>
      </c>
      <c r="J210" s="175">
        <f t="shared" si="181"/>
        <v>58.43438536</v>
      </c>
      <c r="K210" s="175">
        <f t="shared" si="181"/>
        <v>53.48001373</v>
      </c>
      <c r="L210" s="175">
        <f t="shared" si="181"/>
        <v>49.30009485</v>
      </c>
      <c r="M210" s="175">
        <f t="shared" si="181"/>
        <v>45.7262024</v>
      </c>
      <c r="N210" s="175">
        <f t="shared" si="181"/>
        <v>42.63544761</v>
      </c>
      <c r="O210" s="159">
        <f t="shared" si="181"/>
        <v>174.0549642</v>
      </c>
      <c r="P210" s="159">
        <f t="shared" si="181"/>
        <v>113.290344</v>
      </c>
      <c r="Q210" s="159">
        <f t="shared" si="181"/>
        <v>83.97402973</v>
      </c>
      <c r="R210" s="159">
        <f t="shared" si="181"/>
        <v>66.71109773</v>
      </c>
      <c r="S210" s="159">
        <f t="shared" si="181"/>
        <v>55.33551786</v>
      </c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65">
        <v>43.0</v>
      </c>
      <c r="C211" s="166" t="s">
        <v>58</v>
      </c>
      <c r="D211" s="179">
        <f t="shared" ref="D211:S211" si="182">$B211/HLOOKUP(D$205,INDIRECT(CONCATENATE("ChestValue", SUBSTITUTE($B$204," ",""))),7,FALSE)</f>
        <v>135.4149335</v>
      </c>
      <c r="E211" s="176">
        <f t="shared" si="182"/>
        <v>123.0365163</v>
      </c>
      <c r="F211" s="176">
        <f t="shared" si="182"/>
        <v>112.7316054</v>
      </c>
      <c r="G211" s="176">
        <f t="shared" si="182"/>
        <v>104.0194656</v>
      </c>
      <c r="H211" s="176">
        <f t="shared" si="182"/>
        <v>96.55730992</v>
      </c>
      <c r="I211" s="176">
        <f t="shared" si="182"/>
        <v>90.09413091</v>
      </c>
      <c r="J211" s="177">
        <f t="shared" si="182"/>
        <v>81.05414743</v>
      </c>
      <c r="K211" s="177">
        <f t="shared" si="182"/>
        <v>74.18195453</v>
      </c>
      <c r="L211" s="177">
        <f t="shared" si="182"/>
        <v>68.38400253</v>
      </c>
      <c r="M211" s="177">
        <f t="shared" si="182"/>
        <v>63.42666785</v>
      </c>
      <c r="N211" s="177">
        <f t="shared" si="182"/>
        <v>59.13949185</v>
      </c>
      <c r="O211" s="164">
        <f t="shared" si="182"/>
        <v>241.4310793</v>
      </c>
      <c r="P211" s="164">
        <f t="shared" si="182"/>
        <v>157.1446707</v>
      </c>
      <c r="Q211" s="164">
        <f t="shared" si="182"/>
        <v>116.4801058</v>
      </c>
      <c r="R211" s="164">
        <f t="shared" si="182"/>
        <v>92.53474847</v>
      </c>
      <c r="S211" s="164">
        <f t="shared" si="182"/>
        <v>76.75571833</v>
      </c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67">
        <v>100.0</v>
      </c>
      <c r="C212" s="168" t="s">
        <v>31</v>
      </c>
      <c r="D212" s="178">
        <f t="shared" ref="D212:S212" si="183">$B212/HLOOKUP(D$205,INDIRECT(CONCATENATE("ChestValue", SUBSTITUTE($B$204," ",""))),7,FALSE)</f>
        <v>314.9184499</v>
      </c>
      <c r="E212" s="174">
        <f t="shared" si="183"/>
        <v>286.1314334</v>
      </c>
      <c r="F212" s="174">
        <f t="shared" si="183"/>
        <v>262.1665241</v>
      </c>
      <c r="G212" s="174">
        <f t="shared" si="183"/>
        <v>241.9057339</v>
      </c>
      <c r="H212" s="174">
        <f t="shared" si="183"/>
        <v>224.5518835</v>
      </c>
      <c r="I212" s="174">
        <f t="shared" si="183"/>
        <v>209.5212347</v>
      </c>
      <c r="J212" s="175">
        <f t="shared" si="183"/>
        <v>188.4980173</v>
      </c>
      <c r="K212" s="175">
        <f t="shared" si="183"/>
        <v>172.5161733</v>
      </c>
      <c r="L212" s="175">
        <f t="shared" si="183"/>
        <v>159.032564</v>
      </c>
      <c r="M212" s="175">
        <f t="shared" si="183"/>
        <v>147.5038787</v>
      </c>
      <c r="N212" s="175">
        <f t="shared" si="183"/>
        <v>137.533702</v>
      </c>
      <c r="O212" s="159">
        <f t="shared" si="183"/>
        <v>561.4676264</v>
      </c>
      <c r="P212" s="159">
        <f t="shared" si="183"/>
        <v>365.4527225</v>
      </c>
      <c r="Q212" s="159">
        <f t="shared" si="183"/>
        <v>270.8839669</v>
      </c>
      <c r="R212" s="159">
        <f t="shared" si="183"/>
        <v>215.1970895</v>
      </c>
      <c r="S212" s="159">
        <f t="shared" si="183"/>
        <v>178.5016705</v>
      </c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67">
        <v>157.0</v>
      </c>
      <c r="C213" s="168" t="s">
        <v>59</v>
      </c>
      <c r="D213" s="179">
        <f t="shared" ref="D213:S213" si="184">$B213/HLOOKUP(D$205,INDIRECT(CONCATENATE("ChestValue", SUBSTITUTE($B$204," ",""))),7,FALSE)</f>
        <v>494.4219664</v>
      </c>
      <c r="E213" s="176">
        <f t="shared" si="184"/>
        <v>449.2263504</v>
      </c>
      <c r="F213" s="176">
        <f t="shared" si="184"/>
        <v>411.6014429</v>
      </c>
      <c r="G213" s="176">
        <f t="shared" si="184"/>
        <v>379.7920021</v>
      </c>
      <c r="H213" s="176">
        <f t="shared" si="184"/>
        <v>352.5464572</v>
      </c>
      <c r="I213" s="176">
        <f t="shared" si="184"/>
        <v>328.9483385</v>
      </c>
      <c r="J213" s="177">
        <f t="shared" si="184"/>
        <v>295.9418871</v>
      </c>
      <c r="K213" s="177">
        <f t="shared" si="184"/>
        <v>270.8503921</v>
      </c>
      <c r="L213" s="177">
        <f t="shared" si="184"/>
        <v>249.6811255</v>
      </c>
      <c r="M213" s="177">
        <f t="shared" si="184"/>
        <v>231.5810896</v>
      </c>
      <c r="N213" s="177">
        <f t="shared" si="184"/>
        <v>215.9279121</v>
      </c>
      <c r="O213" s="164">
        <f t="shared" si="184"/>
        <v>881.5041734</v>
      </c>
      <c r="P213" s="164">
        <f t="shared" si="184"/>
        <v>573.7607743</v>
      </c>
      <c r="Q213" s="164">
        <f t="shared" si="184"/>
        <v>425.287828</v>
      </c>
      <c r="R213" s="164">
        <f t="shared" si="184"/>
        <v>337.8594304</v>
      </c>
      <c r="S213" s="164">
        <f t="shared" si="184"/>
        <v>280.2476227</v>
      </c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67">
        <v>214.0</v>
      </c>
      <c r="C214" s="168" t="s">
        <v>60</v>
      </c>
      <c r="D214" s="178">
        <f t="shared" ref="D214:S214" si="185">$B214/HLOOKUP(D$205,INDIRECT(CONCATENATE("ChestValue", SUBSTITUTE($B$204," ",""))),7,FALSE)</f>
        <v>673.9254828</v>
      </c>
      <c r="E214" s="174">
        <f t="shared" si="185"/>
        <v>612.3212674</v>
      </c>
      <c r="F214" s="174">
        <f t="shared" si="185"/>
        <v>561.0363616</v>
      </c>
      <c r="G214" s="174">
        <f t="shared" si="185"/>
        <v>517.6782704</v>
      </c>
      <c r="H214" s="174">
        <f t="shared" si="185"/>
        <v>480.5410308</v>
      </c>
      <c r="I214" s="174">
        <f t="shared" si="185"/>
        <v>448.3754422</v>
      </c>
      <c r="J214" s="175">
        <f t="shared" si="185"/>
        <v>403.385757</v>
      </c>
      <c r="K214" s="175">
        <f t="shared" si="185"/>
        <v>369.1846109</v>
      </c>
      <c r="L214" s="175">
        <f t="shared" si="185"/>
        <v>340.329687</v>
      </c>
      <c r="M214" s="175">
        <f t="shared" si="185"/>
        <v>315.6583004</v>
      </c>
      <c r="N214" s="175">
        <f t="shared" si="185"/>
        <v>294.3221222</v>
      </c>
      <c r="O214" s="159">
        <f t="shared" si="185"/>
        <v>1201.54072</v>
      </c>
      <c r="P214" s="159">
        <f t="shared" si="185"/>
        <v>782.0688261</v>
      </c>
      <c r="Q214" s="159">
        <f t="shared" si="185"/>
        <v>579.6916891</v>
      </c>
      <c r="R214" s="159">
        <f t="shared" si="185"/>
        <v>460.5217714</v>
      </c>
      <c r="S214" s="159">
        <f t="shared" si="185"/>
        <v>381.9935749</v>
      </c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67">
        <v>271.0</v>
      </c>
      <c r="C215" s="168" t="s">
        <v>61</v>
      </c>
      <c r="D215" s="179">
        <f t="shared" ref="D215:S215" si="186">$B215/HLOOKUP(D$205,INDIRECT(CONCATENATE("ChestValue", SUBSTITUTE($B$204," ",""))),7,FALSE)</f>
        <v>853.4289993</v>
      </c>
      <c r="E215" s="176">
        <f t="shared" si="186"/>
        <v>775.4161844</v>
      </c>
      <c r="F215" s="176">
        <f t="shared" si="186"/>
        <v>710.4712803</v>
      </c>
      <c r="G215" s="176">
        <f t="shared" si="186"/>
        <v>655.5645387</v>
      </c>
      <c r="H215" s="176">
        <f t="shared" si="186"/>
        <v>608.5356044</v>
      </c>
      <c r="I215" s="176">
        <f t="shared" si="186"/>
        <v>567.802546</v>
      </c>
      <c r="J215" s="177">
        <f t="shared" si="186"/>
        <v>510.8296268</v>
      </c>
      <c r="K215" s="177">
        <f t="shared" si="186"/>
        <v>467.5188297</v>
      </c>
      <c r="L215" s="177">
        <f t="shared" si="186"/>
        <v>430.9782485</v>
      </c>
      <c r="M215" s="177">
        <f t="shared" si="186"/>
        <v>399.7355113</v>
      </c>
      <c r="N215" s="177">
        <f t="shared" si="186"/>
        <v>372.7163324</v>
      </c>
      <c r="O215" s="164">
        <f t="shared" si="186"/>
        <v>1521.577267</v>
      </c>
      <c r="P215" s="164">
        <f t="shared" si="186"/>
        <v>990.3768779</v>
      </c>
      <c r="Q215" s="164">
        <f t="shared" si="186"/>
        <v>734.0955502</v>
      </c>
      <c r="R215" s="164">
        <f t="shared" si="186"/>
        <v>583.1841124</v>
      </c>
      <c r="S215" s="164">
        <f t="shared" si="186"/>
        <v>483.7395271</v>
      </c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69">
        <v>571.0</v>
      </c>
      <c r="C216" s="170" t="s">
        <v>32</v>
      </c>
      <c r="D216" s="178">
        <f t="shared" ref="D216:S216" si="187">$B216/HLOOKUP(D$205,INDIRECT(CONCATENATE("ChestValue", SUBSTITUTE($B$204," ",""))),7,FALSE)</f>
        <v>1798.184349</v>
      </c>
      <c r="E216" s="174">
        <f t="shared" si="187"/>
        <v>1633.810484</v>
      </c>
      <c r="F216" s="174">
        <f t="shared" si="187"/>
        <v>1496.970853</v>
      </c>
      <c r="G216" s="174">
        <f t="shared" si="187"/>
        <v>1381.28174</v>
      </c>
      <c r="H216" s="174">
        <f t="shared" si="187"/>
        <v>1282.191255</v>
      </c>
      <c r="I216" s="174">
        <f t="shared" si="187"/>
        <v>1196.36625</v>
      </c>
      <c r="J216" s="175">
        <f t="shared" si="187"/>
        <v>1076.323679</v>
      </c>
      <c r="K216" s="175">
        <f t="shared" si="187"/>
        <v>985.0673497</v>
      </c>
      <c r="L216" s="175">
        <f t="shared" si="187"/>
        <v>908.0759406</v>
      </c>
      <c r="M216" s="175">
        <f t="shared" si="187"/>
        <v>842.2471474</v>
      </c>
      <c r="N216" s="175">
        <f t="shared" si="187"/>
        <v>785.3174383</v>
      </c>
      <c r="O216" s="159">
        <f t="shared" si="187"/>
        <v>3205.980147</v>
      </c>
      <c r="P216" s="159">
        <f t="shared" si="187"/>
        <v>2086.735045</v>
      </c>
      <c r="Q216" s="159">
        <f t="shared" si="187"/>
        <v>1546.747451</v>
      </c>
      <c r="R216" s="159">
        <f t="shared" si="187"/>
        <v>1228.775381</v>
      </c>
      <c r="S216" s="159">
        <f t="shared" si="187"/>
        <v>1019.244539</v>
      </c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69">
        <v>871.0</v>
      </c>
      <c r="C217" s="170" t="s">
        <v>62</v>
      </c>
      <c r="D217" s="179">
        <f t="shared" ref="D217:S217" si="188">$B217/HLOOKUP(D$205,INDIRECT(CONCATENATE("ChestValue", SUBSTITUTE($B$204," ",""))),7,FALSE)</f>
        <v>2742.939699</v>
      </c>
      <c r="E217" s="176">
        <f t="shared" si="188"/>
        <v>2492.204785</v>
      </c>
      <c r="F217" s="176">
        <f t="shared" si="188"/>
        <v>2283.470425</v>
      </c>
      <c r="G217" s="176">
        <f t="shared" si="188"/>
        <v>2106.998942</v>
      </c>
      <c r="H217" s="176">
        <f t="shared" si="188"/>
        <v>1955.846906</v>
      </c>
      <c r="I217" s="176">
        <f t="shared" si="188"/>
        <v>1824.929954</v>
      </c>
      <c r="J217" s="177">
        <f t="shared" si="188"/>
        <v>1641.817731</v>
      </c>
      <c r="K217" s="177">
        <f t="shared" si="188"/>
        <v>1502.61587</v>
      </c>
      <c r="L217" s="177">
        <f t="shared" si="188"/>
        <v>1385.173633</v>
      </c>
      <c r="M217" s="177">
        <f t="shared" si="188"/>
        <v>1284.758784</v>
      </c>
      <c r="N217" s="177">
        <f t="shared" si="188"/>
        <v>1197.918544</v>
      </c>
      <c r="O217" s="164">
        <f t="shared" si="188"/>
        <v>4890.383026</v>
      </c>
      <c r="P217" s="164">
        <f t="shared" si="188"/>
        <v>3183.093213</v>
      </c>
      <c r="Q217" s="164">
        <f t="shared" si="188"/>
        <v>2359.399351</v>
      </c>
      <c r="R217" s="164">
        <f t="shared" si="188"/>
        <v>1874.366649</v>
      </c>
      <c r="S217" s="164">
        <f t="shared" si="188"/>
        <v>1554.74955</v>
      </c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69">
        <v>1171.0</v>
      </c>
      <c r="C218" s="170" t="s">
        <v>63</v>
      </c>
      <c r="D218" s="178">
        <f t="shared" ref="D218:S218" si="189">$B218/HLOOKUP(D$205,INDIRECT(CONCATENATE("ChestValue", SUBSTITUTE($B$204," ",""))),7,FALSE)</f>
        <v>3687.695049</v>
      </c>
      <c r="E218" s="174">
        <f t="shared" si="189"/>
        <v>3350.599085</v>
      </c>
      <c r="F218" s="174">
        <f t="shared" si="189"/>
        <v>3069.969997</v>
      </c>
      <c r="G218" s="174">
        <f t="shared" si="189"/>
        <v>2832.716143</v>
      </c>
      <c r="H218" s="174">
        <f t="shared" si="189"/>
        <v>2629.502556</v>
      </c>
      <c r="I218" s="174">
        <f t="shared" si="189"/>
        <v>2453.493658</v>
      </c>
      <c r="J218" s="175">
        <f t="shared" si="189"/>
        <v>2207.311782</v>
      </c>
      <c r="K218" s="175">
        <f t="shared" si="189"/>
        <v>2020.16439</v>
      </c>
      <c r="L218" s="175">
        <f t="shared" si="189"/>
        <v>1862.271325</v>
      </c>
      <c r="M218" s="175">
        <f t="shared" si="189"/>
        <v>1727.27042</v>
      </c>
      <c r="N218" s="175">
        <f t="shared" si="189"/>
        <v>1610.51965</v>
      </c>
      <c r="O218" s="159">
        <f t="shared" si="189"/>
        <v>6574.785905</v>
      </c>
      <c r="P218" s="159">
        <f t="shared" si="189"/>
        <v>4279.45138</v>
      </c>
      <c r="Q218" s="159">
        <f t="shared" si="189"/>
        <v>3172.051252</v>
      </c>
      <c r="R218" s="159">
        <f t="shared" si="189"/>
        <v>2519.957918</v>
      </c>
      <c r="S218" s="159">
        <f t="shared" si="189"/>
        <v>2090.254562</v>
      </c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69">
        <v>1471.0</v>
      </c>
      <c r="C219" s="170" t="s">
        <v>64</v>
      </c>
      <c r="D219" s="179">
        <f t="shared" ref="D219:S219" si="190">$B219/HLOOKUP(D$205,INDIRECT(CONCATENATE("ChestValue", SUBSTITUTE($B$204," ",""))),7,FALSE)</f>
        <v>4632.450398</v>
      </c>
      <c r="E219" s="176">
        <f t="shared" si="190"/>
        <v>4208.993385</v>
      </c>
      <c r="F219" s="176">
        <f t="shared" si="190"/>
        <v>3856.46957</v>
      </c>
      <c r="G219" s="176">
        <f t="shared" si="190"/>
        <v>3558.433345</v>
      </c>
      <c r="H219" s="176">
        <f t="shared" si="190"/>
        <v>3303.158207</v>
      </c>
      <c r="I219" s="176">
        <f t="shared" si="190"/>
        <v>3082.057362</v>
      </c>
      <c r="J219" s="177">
        <f t="shared" si="190"/>
        <v>2772.805834</v>
      </c>
      <c r="K219" s="177">
        <f t="shared" si="190"/>
        <v>2537.71291</v>
      </c>
      <c r="L219" s="177">
        <f t="shared" si="190"/>
        <v>2339.369017</v>
      </c>
      <c r="M219" s="177">
        <f t="shared" si="190"/>
        <v>2169.782056</v>
      </c>
      <c r="N219" s="177">
        <f t="shared" si="190"/>
        <v>2023.120756</v>
      </c>
      <c r="O219" s="164">
        <f t="shared" si="190"/>
        <v>8259.188784</v>
      </c>
      <c r="P219" s="164">
        <f t="shared" si="190"/>
        <v>5375.809548</v>
      </c>
      <c r="Q219" s="164">
        <f t="shared" si="190"/>
        <v>3984.703153</v>
      </c>
      <c r="R219" s="164">
        <f t="shared" si="190"/>
        <v>3165.549186</v>
      </c>
      <c r="S219" s="164">
        <f t="shared" si="190"/>
        <v>2625.759573</v>
      </c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69">
        <v>1771.0</v>
      </c>
      <c r="C220" s="170" t="s">
        <v>65</v>
      </c>
      <c r="D220" s="178">
        <f t="shared" ref="D220:S220" si="191">$B220/HLOOKUP(D$205,INDIRECT(CONCATENATE("ChestValue", SUBSTITUTE($B$204," ",""))),7,FALSE)</f>
        <v>5577.205748</v>
      </c>
      <c r="E220" s="174">
        <f t="shared" si="191"/>
        <v>5067.387685</v>
      </c>
      <c r="F220" s="174">
        <f t="shared" si="191"/>
        <v>4642.969142</v>
      </c>
      <c r="G220" s="174">
        <f t="shared" si="191"/>
        <v>4284.150546</v>
      </c>
      <c r="H220" s="174">
        <f t="shared" si="191"/>
        <v>3976.813858</v>
      </c>
      <c r="I220" s="174">
        <f t="shared" si="191"/>
        <v>3710.621066</v>
      </c>
      <c r="J220" s="175">
        <f t="shared" si="191"/>
        <v>3338.299886</v>
      </c>
      <c r="K220" s="175">
        <f t="shared" si="191"/>
        <v>3055.26143</v>
      </c>
      <c r="L220" s="175">
        <f t="shared" si="191"/>
        <v>2816.466709</v>
      </c>
      <c r="M220" s="175">
        <f t="shared" si="191"/>
        <v>2612.293692</v>
      </c>
      <c r="N220" s="175">
        <f t="shared" si="191"/>
        <v>2435.721862</v>
      </c>
      <c r="O220" s="159">
        <f t="shared" si="191"/>
        <v>9943.591663</v>
      </c>
      <c r="P220" s="159">
        <f t="shared" si="191"/>
        <v>6472.167715</v>
      </c>
      <c r="Q220" s="159">
        <f t="shared" si="191"/>
        <v>4797.355053</v>
      </c>
      <c r="R220" s="159">
        <f t="shared" si="191"/>
        <v>3811.140454</v>
      </c>
      <c r="S220" s="159">
        <f t="shared" si="191"/>
        <v>3161.264585</v>
      </c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71">
        <v>3484.0</v>
      </c>
      <c r="C221" s="172" t="s">
        <v>33</v>
      </c>
      <c r="D221" s="179">
        <f t="shared" ref="D221:S221" si="192">$B221/HLOOKUP(D$205,INDIRECT(CONCATENATE("ChestValue", SUBSTITUTE($B$204," ",""))),7,FALSE)</f>
        <v>10971.7588</v>
      </c>
      <c r="E221" s="176">
        <f t="shared" si="192"/>
        <v>9968.819138</v>
      </c>
      <c r="F221" s="176">
        <f t="shared" si="192"/>
        <v>9133.8817</v>
      </c>
      <c r="G221" s="176">
        <f t="shared" si="192"/>
        <v>8427.995767</v>
      </c>
      <c r="H221" s="176">
        <f t="shared" si="192"/>
        <v>7823.387623</v>
      </c>
      <c r="I221" s="176">
        <f t="shared" si="192"/>
        <v>7299.719816</v>
      </c>
      <c r="J221" s="177">
        <f t="shared" si="192"/>
        <v>6567.270922</v>
      </c>
      <c r="K221" s="177">
        <f t="shared" si="192"/>
        <v>6010.463479</v>
      </c>
      <c r="L221" s="177">
        <f t="shared" si="192"/>
        <v>5540.69453</v>
      </c>
      <c r="M221" s="177">
        <f t="shared" si="192"/>
        <v>5139.035134</v>
      </c>
      <c r="N221" s="177">
        <f t="shared" si="192"/>
        <v>4791.674177</v>
      </c>
      <c r="O221" s="164">
        <f t="shared" si="192"/>
        <v>19561.5321</v>
      </c>
      <c r="P221" s="164">
        <f t="shared" si="192"/>
        <v>12732.37285</v>
      </c>
      <c r="Q221" s="164">
        <f t="shared" si="192"/>
        <v>9437.597406</v>
      </c>
      <c r="R221" s="164">
        <f t="shared" si="192"/>
        <v>7497.466597</v>
      </c>
      <c r="S221" s="164">
        <f t="shared" si="192"/>
        <v>6218.998201</v>
      </c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71">
        <v>5197.0</v>
      </c>
      <c r="C222" s="172" t="s">
        <v>66</v>
      </c>
      <c r="D222" s="178">
        <f t="shared" ref="D222:S222" si="193">$B222/HLOOKUP(D$205,INDIRECT(CONCATENATE("ChestValue", SUBSTITUTE($B$204," ",""))),7,FALSE)</f>
        <v>16366.31184</v>
      </c>
      <c r="E222" s="174">
        <f t="shared" si="193"/>
        <v>14870.25059</v>
      </c>
      <c r="F222" s="174">
        <f t="shared" si="193"/>
        <v>13624.79426</v>
      </c>
      <c r="G222" s="174">
        <f t="shared" si="193"/>
        <v>12571.84099</v>
      </c>
      <c r="H222" s="174">
        <f t="shared" si="193"/>
        <v>11669.96139</v>
      </c>
      <c r="I222" s="174">
        <f t="shared" si="193"/>
        <v>10888.81857</v>
      </c>
      <c r="J222" s="175">
        <f t="shared" si="193"/>
        <v>9796.241958</v>
      </c>
      <c r="K222" s="175">
        <f t="shared" si="193"/>
        <v>8965.665528</v>
      </c>
      <c r="L222" s="175">
        <f t="shared" si="193"/>
        <v>8264.922352</v>
      </c>
      <c r="M222" s="175">
        <f t="shared" si="193"/>
        <v>7665.776577</v>
      </c>
      <c r="N222" s="175">
        <f t="shared" si="193"/>
        <v>7147.626492</v>
      </c>
      <c r="O222" s="159">
        <f t="shared" si="193"/>
        <v>29179.47254</v>
      </c>
      <c r="P222" s="159">
        <f t="shared" si="193"/>
        <v>18992.57799</v>
      </c>
      <c r="Q222" s="159">
        <f t="shared" si="193"/>
        <v>14077.83976</v>
      </c>
      <c r="R222" s="159">
        <f t="shared" si="193"/>
        <v>11183.79274</v>
      </c>
      <c r="S222" s="159">
        <f t="shared" si="193"/>
        <v>9276.731817</v>
      </c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71">
        <v>6910.0</v>
      </c>
      <c r="C223" s="172" t="s">
        <v>67</v>
      </c>
      <c r="D223" s="179">
        <f t="shared" ref="D223:S223" si="194">$B223/HLOOKUP(D$205,INDIRECT(CONCATENATE("ChestValue", SUBSTITUTE($B$204," ",""))),7,FALSE)</f>
        <v>21760.86489</v>
      </c>
      <c r="E223" s="176">
        <f t="shared" si="194"/>
        <v>19771.68205</v>
      </c>
      <c r="F223" s="176">
        <f t="shared" si="194"/>
        <v>18115.70682</v>
      </c>
      <c r="G223" s="176">
        <f t="shared" si="194"/>
        <v>16715.68621</v>
      </c>
      <c r="H223" s="176">
        <f t="shared" si="194"/>
        <v>15516.53515</v>
      </c>
      <c r="I223" s="176">
        <f t="shared" si="194"/>
        <v>14477.91732</v>
      </c>
      <c r="J223" s="177">
        <f t="shared" si="194"/>
        <v>13025.21299</v>
      </c>
      <c r="K223" s="177">
        <f t="shared" si="194"/>
        <v>11920.86758</v>
      </c>
      <c r="L223" s="177">
        <f t="shared" si="194"/>
        <v>10989.15017</v>
      </c>
      <c r="M223" s="177">
        <f t="shared" si="194"/>
        <v>10192.51802</v>
      </c>
      <c r="N223" s="177">
        <f t="shared" si="194"/>
        <v>9503.578807</v>
      </c>
      <c r="O223" s="164">
        <f t="shared" si="194"/>
        <v>38797.41298</v>
      </c>
      <c r="P223" s="164">
        <f t="shared" si="194"/>
        <v>25252.78312</v>
      </c>
      <c r="Q223" s="164">
        <f t="shared" si="194"/>
        <v>18718.08211</v>
      </c>
      <c r="R223" s="164">
        <f t="shared" si="194"/>
        <v>14870.11888</v>
      </c>
      <c r="S223" s="164">
        <f t="shared" si="194"/>
        <v>12334.46543</v>
      </c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71">
        <v>8623.0</v>
      </c>
      <c r="C224" s="172" t="s">
        <v>68</v>
      </c>
      <c r="D224" s="178">
        <f t="shared" ref="D224:S224" si="195">$B224/HLOOKUP(D$205,INDIRECT(CONCATENATE("ChestValue", SUBSTITUTE($B$204," ",""))),7,FALSE)</f>
        <v>27155.41794</v>
      </c>
      <c r="E224" s="174">
        <f t="shared" si="195"/>
        <v>24673.1135</v>
      </c>
      <c r="F224" s="174">
        <f t="shared" si="195"/>
        <v>22606.61937</v>
      </c>
      <c r="G224" s="174">
        <f t="shared" si="195"/>
        <v>20859.53143</v>
      </c>
      <c r="H224" s="174">
        <f t="shared" si="195"/>
        <v>19363.10892</v>
      </c>
      <c r="I224" s="174">
        <f t="shared" si="195"/>
        <v>18067.01607</v>
      </c>
      <c r="J224" s="175">
        <f t="shared" si="195"/>
        <v>16254.18403</v>
      </c>
      <c r="K224" s="175">
        <f t="shared" si="195"/>
        <v>14876.06963</v>
      </c>
      <c r="L224" s="175">
        <f t="shared" si="195"/>
        <v>13713.378</v>
      </c>
      <c r="M224" s="175">
        <f t="shared" si="195"/>
        <v>12719.25946</v>
      </c>
      <c r="N224" s="175">
        <f t="shared" si="195"/>
        <v>11859.53112</v>
      </c>
      <c r="O224" s="159">
        <f t="shared" si="195"/>
        <v>48415.35342</v>
      </c>
      <c r="P224" s="159">
        <f t="shared" si="195"/>
        <v>31512.98826</v>
      </c>
      <c r="Q224" s="159">
        <f t="shared" si="195"/>
        <v>23358.32446</v>
      </c>
      <c r="R224" s="159">
        <f t="shared" si="195"/>
        <v>18556.44502</v>
      </c>
      <c r="S224" s="159">
        <f t="shared" si="195"/>
        <v>15392.19905</v>
      </c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71">
        <v>10336.0</v>
      </c>
      <c r="C225" s="172" t="s">
        <v>69</v>
      </c>
      <c r="D225" s="179">
        <f t="shared" ref="D225:S225" si="196">$B225/HLOOKUP(D$205,INDIRECT(CONCATENATE("ChestValue", SUBSTITUTE($B$204," ",""))),7,FALSE)</f>
        <v>32549.97098</v>
      </c>
      <c r="E225" s="176">
        <f t="shared" si="196"/>
        <v>29574.54495</v>
      </c>
      <c r="F225" s="176">
        <f t="shared" si="196"/>
        <v>27097.53193</v>
      </c>
      <c r="G225" s="176">
        <f t="shared" si="196"/>
        <v>25003.37665</v>
      </c>
      <c r="H225" s="176">
        <f t="shared" si="196"/>
        <v>23209.68268</v>
      </c>
      <c r="I225" s="176">
        <f t="shared" si="196"/>
        <v>21656.11482</v>
      </c>
      <c r="J225" s="177">
        <f t="shared" si="196"/>
        <v>19483.15507</v>
      </c>
      <c r="K225" s="177">
        <f t="shared" si="196"/>
        <v>17831.27168</v>
      </c>
      <c r="L225" s="177">
        <f t="shared" si="196"/>
        <v>16437.60582</v>
      </c>
      <c r="M225" s="177">
        <f t="shared" si="196"/>
        <v>15246.0009</v>
      </c>
      <c r="N225" s="177">
        <f t="shared" si="196"/>
        <v>14215.48344</v>
      </c>
      <c r="O225" s="164">
        <f t="shared" si="196"/>
        <v>58033.29386</v>
      </c>
      <c r="P225" s="164">
        <f t="shared" si="196"/>
        <v>37773.19339</v>
      </c>
      <c r="Q225" s="164">
        <f t="shared" si="196"/>
        <v>27998.56682</v>
      </c>
      <c r="R225" s="164">
        <f t="shared" si="196"/>
        <v>22242.77117</v>
      </c>
      <c r="S225" s="164">
        <f t="shared" si="196"/>
        <v>18449.93267</v>
      </c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71">
        <v>12049.0</v>
      </c>
      <c r="C226" s="172" t="s">
        <v>70</v>
      </c>
      <c r="D226" s="178">
        <f t="shared" ref="D226:S226" si="197">$B226/HLOOKUP(D$205,INDIRECT(CONCATENATE("ChestValue", SUBSTITUTE($B$204," ",""))),7,FALSE)</f>
        <v>37944.52403</v>
      </c>
      <c r="E226" s="174">
        <f t="shared" si="197"/>
        <v>34475.97641</v>
      </c>
      <c r="F226" s="174">
        <f t="shared" si="197"/>
        <v>31588.44449</v>
      </c>
      <c r="G226" s="174">
        <f t="shared" si="197"/>
        <v>29147.22187</v>
      </c>
      <c r="H226" s="174">
        <f t="shared" si="197"/>
        <v>27056.25645</v>
      </c>
      <c r="I226" s="174">
        <f t="shared" si="197"/>
        <v>25245.21357</v>
      </c>
      <c r="J226" s="175">
        <f t="shared" si="197"/>
        <v>22712.1261</v>
      </c>
      <c r="K226" s="175">
        <f t="shared" si="197"/>
        <v>20786.47372</v>
      </c>
      <c r="L226" s="175">
        <f t="shared" si="197"/>
        <v>19161.83364</v>
      </c>
      <c r="M226" s="175">
        <f t="shared" si="197"/>
        <v>17772.74235</v>
      </c>
      <c r="N226" s="175">
        <f t="shared" si="197"/>
        <v>16571.43575</v>
      </c>
      <c r="O226" s="159">
        <f t="shared" si="197"/>
        <v>67651.2343</v>
      </c>
      <c r="P226" s="159">
        <f t="shared" si="197"/>
        <v>44033.39853</v>
      </c>
      <c r="Q226" s="159">
        <f t="shared" si="197"/>
        <v>32638.80917</v>
      </c>
      <c r="R226" s="159">
        <f t="shared" si="197"/>
        <v>25929.09731</v>
      </c>
      <c r="S226" s="159">
        <f t="shared" si="197"/>
        <v>21507.66628</v>
      </c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10" t="s">
        <v>52</v>
      </c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10" t="s">
        <v>48</v>
      </c>
      <c r="D229" s="173"/>
      <c r="E229" s="150" t="s">
        <v>53</v>
      </c>
      <c r="J229" s="151" t="s">
        <v>54</v>
      </c>
      <c r="O229" s="152" t="s">
        <v>55</v>
      </c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D230" s="149">
        <v>5.0</v>
      </c>
      <c r="E230" s="39">
        <v>6.0</v>
      </c>
      <c r="F230" s="39">
        <v>7.0</v>
      </c>
      <c r="G230" s="39">
        <v>8.0</v>
      </c>
      <c r="H230" s="39">
        <v>9.0</v>
      </c>
      <c r="I230" s="39">
        <v>10.0</v>
      </c>
      <c r="J230" s="40">
        <v>11.0</v>
      </c>
      <c r="K230" s="40">
        <v>12.0</v>
      </c>
      <c r="L230" s="40">
        <v>13.0</v>
      </c>
      <c r="M230" s="40">
        <v>14.0</v>
      </c>
      <c r="N230" s="40">
        <v>15.0</v>
      </c>
      <c r="O230" s="153">
        <v>16.0</v>
      </c>
      <c r="P230" s="153">
        <v>17.0</v>
      </c>
      <c r="Q230" s="153">
        <v>18.0</v>
      </c>
      <c r="R230" s="153">
        <v>19.0</v>
      </c>
      <c r="S230" s="153">
        <v>20.0</v>
      </c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54">
        <v>1.0</v>
      </c>
      <c r="C231" s="155" t="s">
        <v>27</v>
      </c>
      <c r="D231" s="178">
        <f t="shared" ref="D231:S231" si="198">$B231/HLOOKUP(D$230,INDIRECT(CONCATENATE("ChestValue", SUBSTITUTE($B$229," ",""))),7,FALSE)</f>
        <v>3.900423701</v>
      </c>
      <c r="E231" s="174">
        <f t="shared" si="198"/>
        <v>3.261895982</v>
      </c>
      <c r="F231" s="174">
        <f t="shared" si="198"/>
        <v>2.789806995</v>
      </c>
      <c r="G231" s="174">
        <f t="shared" si="198"/>
        <v>2.437090749</v>
      </c>
      <c r="H231" s="174">
        <f t="shared" si="198"/>
        <v>2.16355212</v>
      </c>
      <c r="I231" s="174">
        <f t="shared" si="198"/>
        <v>1.945220878</v>
      </c>
      <c r="J231" s="175">
        <f t="shared" si="198"/>
        <v>1.698999561</v>
      </c>
      <c r="K231" s="175">
        <f t="shared" si="198"/>
        <v>1.489959516</v>
      </c>
      <c r="L231" s="175">
        <f t="shared" si="198"/>
        <v>1.326723279</v>
      </c>
      <c r="M231" s="175">
        <f t="shared" si="198"/>
        <v>1.195722873</v>
      </c>
      <c r="N231" s="175">
        <f t="shared" si="198"/>
        <v>1.088267542</v>
      </c>
      <c r="O231" s="159">
        <f t="shared" si="198"/>
        <v>5.614902237</v>
      </c>
      <c r="P231" s="159">
        <f t="shared" si="198"/>
        <v>3.654718697</v>
      </c>
      <c r="Q231" s="159">
        <f t="shared" si="198"/>
        <v>2.708997468</v>
      </c>
      <c r="R231" s="159">
        <f t="shared" si="198"/>
        <v>2.15210368</v>
      </c>
      <c r="S231" s="159">
        <f t="shared" si="198"/>
        <v>1.785130907</v>
      </c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60">
        <v>4.0</v>
      </c>
      <c r="C232" s="161" t="s">
        <v>28</v>
      </c>
      <c r="D232" s="179">
        <f t="shared" ref="D232:S232" si="199">$B232/HLOOKUP(D$230,INDIRECT(CONCATENATE("ChestValue", SUBSTITUTE($B$229," ",""))),7,FALSE)</f>
        <v>15.6016948</v>
      </c>
      <c r="E232" s="176">
        <f t="shared" si="199"/>
        <v>13.04758393</v>
      </c>
      <c r="F232" s="176">
        <f t="shared" si="199"/>
        <v>11.15922798</v>
      </c>
      <c r="G232" s="176">
        <f t="shared" si="199"/>
        <v>9.748362997</v>
      </c>
      <c r="H232" s="176">
        <f t="shared" si="199"/>
        <v>8.654208481</v>
      </c>
      <c r="I232" s="176">
        <f t="shared" si="199"/>
        <v>7.78088351</v>
      </c>
      <c r="J232" s="177">
        <f t="shared" si="199"/>
        <v>6.795998243</v>
      </c>
      <c r="K232" s="177">
        <f t="shared" si="199"/>
        <v>5.959838063</v>
      </c>
      <c r="L232" s="177">
        <f t="shared" si="199"/>
        <v>5.306893118</v>
      </c>
      <c r="M232" s="177">
        <f t="shared" si="199"/>
        <v>4.782891494</v>
      </c>
      <c r="N232" s="177">
        <f t="shared" si="199"/>
        <v>4.353070168</v>
      </c>
      <c r="O232" s="164">
        <f t="shared" si="199"/>
        <v>22.45960895</v>
      </c>
      <c r="P232" s="164">
        <f t="shared" si="199"/>
        <v>14.61887479</v>
      </c>
      <c r="Q232" s="164">
        <f t="shared" si="199"/>
        <v>10.83598987</v>
      </c>
      <c r="R232" s="164">
        <f t="shared" si="199"/>
        <v>8.60841472</v>
      </c>
      <c r="S232" s="164">
        <f t="shared" si="199"/>
        <v>7.140523629</v>
      </c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60">
        <v>7.0</v>
      </c>
      <c r="C233" s="161" t="s">
        <v>56</v>
      </c>
      <c r="D233" s="178">
        <f t="shared" ref="D233:S233" si="200">$B233/HLOOKUP(D$230,INDIRECT(CONCATENATE("ChestValue", SUBSTITUTE($B$229," ",""))),7,FALSE)</f>
        <v>27.30296591</v>
      </c>
      <c r="E233" s="174">
        <f t="shared" si="200"/>
        <v>22.83327187</v>
      </c>
      <c r="F233" s="174">
        <f t="shared" si="200"/>
        <v>19.52864896</v>
      </c>
      <c r="G233" s="174">
        <f t="shared" si="200"/>
        <v>17.05963525</v>
      </c>
      <c r="H233" s="174">
        <f t="shared" si="200"/>
        <v>15.14486484</v>
      </c>
      <c r="I233" s="174">
        <f t="shared" si="200"/>
        <v>13.61654614</v>
      </c>
      <c r="J233" s="175">
        <f t="shared" si="200"/>
        <v>11.89299692</v>
      </c>
      <c r="K233" s="175">
        <f t="shared" si="200"/>
        <v>10.42971661</v>
      </c>
      <c r="L233" s="175">
        <f t="shared" si="200"/>
        <v>9.287062956</v>
      </c>
      <c r="M233" s="175">
        <f t="shared" si="200"/>
        <v>8.370060114</v>
      </c>
      <c r="N233" s="175">
        <f t="shared" si="200"/>
        <v>7.617872793</v>
      </c>
      <c r="O233" s="159">
        <f t="shared" si="200"/>
        <v>39.30431566</v>
      </c>
      <c r="P233" s="159">
        <f t="shared" si="200"/>
        <v>25.58303088</v>
      </c>
      <c r="Q233" s="159">
        <f t="shared" si="200"/>
        <v>18.96298227</v>
      </c>
      <c r="R233" s="159">
        <f t="shared" si="200"/>
        <v>15.06472576</v>
      </c>
      <c r="S233" s="159">
        <f t="shared" si="200"/>
        <v>12.49591635</v>
      </c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65">
        <v>19.0</v>
      </c>
      <c r="C234" s="166" t="s">
        <v>29</v>
      </c>
      <c r="D234" s="179">
        <f t="shared" ref="D234:S234" si="201">$B234/HLOOKUP(D$230,INDIRECT(CONCATENATE("ChestValue", SUBSTITUTE($B$229," ",""))),7,FALSE)</f>
        <v>74.10805032</v>
      </c>
      <c r="E234" s="176">
        <f t="shared" si="201"/>
        <v>61.97602365</v>
      </c>
      <c r="F234" s="176">
        <f t="shared" si="201"/>
        <v>53.0063329</v>
      </c>
      <c r="G234" s="176">
        <f t="shared" si="201"/>
        <v>46.30472424</v>
      </c>
      <c r="H234" s="176">
        <f t="shared" si="201"/>
        <v>41.10749029</v>
      </c>
      <c r="I234" s="176">
        <f t="shared" si="201"/>
        <v>36.95919667</v>
      </c>
      <c r="J234" s="177">
        <f t="shared" si="201"/>
        <v>32.28099165</v>
      </c>
      <c r="K234" s="177">
        <f t="shared" si="201"/>
        <v>28.3092308</v>
      </c>
      <c r="L234" s="177">
        <f t="shared" si="201"/>
        <v>25.20774231</v>
      </c>
      <c r="M234" s="177">
        <f t="shared" si="201"/>
        <v>22.7187346</v>
      </c>
      <c r="N234" s="177">
        <f t="shared" si="201"/>
        <v>20.6770833</v>
      </c>
      <c r="O234" s="164">
        <f t="shared" si="201"/>
        <v>106.6831425</v>
      </c>
      <c r="P234" s="164">
        <f t="shared" si="201"/>
        <v>69.43965524</v>
      </c>
      <c r="Q234" s="164">
        <f t="shared" si="201"/>
        <v>51.47095189</v>
      </c>
      <c r="R234" s="164">
        <f t="shared" si="201"/>
        <v>40.88996992</v>
      </c>
      <c r="S234" s="164">
        <f t="shared" si="201"/>
        <v>33.91748724</v>
      </c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65">
        <v>31.0</v>
      </c>
      <c r="C235" s="166" t="s">
        <v>57</v>
      </c>
      <c r="D235" s="178">
        <f t="shared" ref="D235:S235" si="202">$B235/HLOOKUP(D$230,INDIRECT(CONCATENATE("ChestValue", SUBSTITUTE($B$229," ",""))),7,FALSE)</f>
        <v>120.9131347</v>
      </c>
      <c r="E235" s="174">
        <f t="shared" si="202"/>
        <v>101.1187754</v>
      </c>
      <c r="F235" s="174">
        <f t="shared" si="202"/>
        <v>86.48401683</v>
      </c>
      <c r="G235" s="174">
        <f t="shared" si="202"/>
        <v>75.54981323</v>
      </c>
      <c r="H235" s="174">
        <f t="shared" si="202"/>
        <v>67.07011573</v>
      </c>
      <c r="I235" s="174">
        <f t="shared" si="202"/>
        <v>60.30184721</v>
      </c>
      <c r="J235" s="175">
        <f t="shared" si="202"/>
        <v>52.66898638</v>
      </c>
      <c r="K235" s="175">
        <f t="shared" si="202"/>
        <v>46.18874499</v>
      </c>
      <c r="L235" s="175">
        <f t="shared" si="202"/>
        <v>41.12842166</v>
      </c>
      <c r="M235" s="175">
        <f t="shared" si="202"/>
        <v>37.06740908</v>
      </c>
      <c r="N235" s="175">
        <f t="shared" si="202"/>
        <v>33.7362938</v>
      </c>
      <c r="O235" s="159">
        <f t="shared" si="202"/>
        <v>174.0619694</v>
      </c>
      <c r="P235" s="159">
        <f t="shared" si="202"/>
        <v>113.2962796</v>
      </c>
      <c r="Q235" s="159">
        <f t="shared" si="202"/>
        <v>83.9789215</v>
      </c>
      <c r="R235" s="159">
        <f t="shared" si="202"/>
        <v>66.71521408</v>
      </c>
      <c r="S235" s="159">
        <f t="shared" si="202"/>
        <v>55.33905812</v>
      </c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65">
        <v>43.0</v>
      </c>
      <c r="C236" s="166" t="s">
        <v>58</v>
      </c>
      <c r="D236" s="179">
        <f t="shared" ref="D236:S236" si="203">$B236/HLOOKUP(D$230,INDIRECT(CONCATENATE("ChestValue", SUBSTITUTE($B$229," ",""))),7,FALSE)</f>
        <v>167.7182191</v>
      </c>
      <c r="E236" s="176">
        <f t="shared" si="203"/>
        <v>140.2615272</v>
      </c>
      <c r="F236" s="176">
        <f t="shared" si="203"/>
        <v>119.9617008</v>
      </c>
      <c r="G236" s="176">
        <f t="shared" si="203"/>
        <v>104.7949022</v>
      </c>
      <c r="H236" s="176">
        <f t="shared" si="203"/>
        <v>93.03274117</v>
      </c>
      <c r="I236" s="176">
        <f t="shared" si="203"/>
        <v>83.64449774</v>
      </c>
      <c r="J236" s="177">
        <f t="shared" si="203"/>
        <v>73.05698111</v>
      </c>
      <c r="K236" s="177">
        <f t="shared" si="203"/>
        <v>64.06825918</v>
      </c>
      <c r="L236" s="177">
        <f t="shared" si="203"/>
        <v>57.04910102</v>
      </c>
      <c r="M236" s="177">
        <f t="shared" si="203"/>
        <v>51.41608356</v>
      </c>
      <c r="N236" s="177">
        <f t="shared" si="203"/>
        <v>46.7955043</v>
      </c>
      <c r="O236" s="164">
        <f t="shared" si="203"/>
        <v>241.4407962</v>
      </c>
      <c r="P236" s="164">
        <f t="shared" si="203"/>
        <v>157.152904</v>
      </c>
      <c r="Q236" s="164">
        <f t="shared" si="203"/>
        <v>116.4868911</v>
      </c>
      <c r="R236" s="164">
        <f t="shared" si="203"/>
        <v>92.54045824</v>
      </c>
      <c r="S236" s="164">
        <f t="shared" si="203"/>
        <v>76.76062901</v>
      </c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67">
        <v>100.0</v>
      </c>
      <c r="C237" s="168" t="s">
        <v>31</v>
      </c>
      <c r="D237" s="178">
        <f t="shared" ref="D237:S237" si="204">$B237/HLOOKUP(D$230,INDIRECT(CONCATENATE("ChestValue", SUBSTITUTE($B$229," ",""))),7,FALSE)</f>
        <v>390.0423701</v>
      </c>
      <c r="E237" s="174">
        <f t="shared" si="204"/>
        <v>326.1895982</v>
      </c>
      <c r="F237" s="174">
        <f t="shared" si="204"/>
        <v>278.9806995</v>
      </c>
      <c r="G237" s="174">
        <f t="shared" si="204"/>
        <v>243.7090749</v>
      </c>
      <c r="H237" s="174">
        <f t="shared" si="204"/>
        <v>216.355212</v>
      </c>
      <c r="I237" s="174">
        <f t="shared" si="204"/>
        <v>194.5220878</v>
      </c>
      <c r="J237" s="175">
        <f t="shared" si="204"/>
        <v>169.8999561</v>
      </c>
      <c r="K237" s="175">
        <f t="shared" si="204"/>
        <v>148.9959516</v>
      </c>
      <c r="L237" s="175">
        <f t="shared" si="204"/>
        <v>132.6723279</v>
      </c>
      <c r="M237" s="175">
        <f t="shared" si="204"/>
        <v>119.5722873</v>
      </c>
      <c r="N237" s="175">
        <f t="shared" si="204"/>
        <v>108.8267542</v>
      </c>
      <c r="O237" s="159">
        <f t="shared" si="204"/>
        <v>561.4902237</v>
      </c>
      <c r="P237" s="159">
        <f t="shared" si="204"/>
        <v>365.4718697</v>
      </c>
      <c r="Q237" s="159">
        <f t="shared" si="204"/>
        <v>270.8997468</v>
      </c>
      <c r="R237" s="159">
        <f t="shared" si="204"/>
        <v>215.210368</v>
      </c>
      <c r="S237" s="159">
        <f t="shared" si="204"/>
        <v>178.5130907</v>
      </c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67">
        <v>157.0</v>
      </c>
      <c r="C238" s="168" t="s">
        <v>59</v>
      </c>
      <c r="D238" s="179">
        <f t="shared" ref="D238:S238" si="205">$B238/HLOOKUP(D$230,INDIRECT(CONCATENATE("ChestValue", SUBSTITUTE($B$229," ",""))),7,FALSE)</f>
        <v>612.3665211</v>
      </c>
      <c r="E238" s="176">
        <f t="shared" si="205"/>
        <v>512.1176691</v>
      </c>
      <c r="F238" s="176">
        <f t="shared" si="205"/>
        <v>437.9996982</v>
      </c>
      <c r="G238" s="176">
        <f t="shared" si="205"/>
        <v>382.6232476</v>
      </c>
      <c r="H238" s="176">
        <f t="shared" si="205"/>
        <v>339.6776829</v>
      </c>
      <c r="I238" s="176">
        <f t="shared" si="205"/>
        <v>305.3996778</v>
      </c>
      <c r="J238" s="177">
        <f t="shared" si="205"/>
        <v>266.742931</v>
      </c>
      <c r="K238" s="177">
        <f t="shared" si="205"/>
        <v>233.923644</v>
      </c>
      <c r="L238" s="177">
        <f t="shared" si="205"/>
        <v>208.2955549</v>
      </c>
      <c r="M238" s="177">
        <f t="shared" si="205"/>
        <v>187.7284911</v>
      </c>
      <c r="N238" s="177">
        <f t="shared" si="205"/>
        <v>170.8580041</v>
      </c>
      <c r="O238" s="164">
        <f t="shared" si="205"/>
        <v>881.5396513</v>
      </c>
      <c r="P238" s="164">
        <f t="shared" si="205"/>
        <v>573.7908354</v>
      </c>
      <c r="Q238" s="164">
        <f t="shared" si="205"/>
        <v>425.3126024</v>
      </c>
      <c r="R238" s="164">
        <f t="shared" si="205"/>
        <v>337.8802778</v>
      </c>
      <c r="S238" s="164">
        <f t="shared" si="205"/>
        <v>280.2655524</v>
      </c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67">
        <v>214.0</v>
      </c>
      <c r="C239" s="168" t="s">
        <v>60</v>
      </c>
      <c r="D239" s="178">
        <f t="shared" ref="D239:S239" si="206">$B239/HLOOKUP(D$230,INDIRECT(CONCATENATE("ChestValue", SUBSTITUTE($B$229," ",""))),7,FALSE)</f>
        <v>834.690672</v>
      </c>
      <c r="E239" s="174">
        <f t="shared" si="206"/>
        <v>698.0457401</v>
      </c>
      <c r="F239" s="174">
        <f t="shared" si="206"/>
        <v>597.0186969</v>
      </c>
      <c r="G239" s="174">
        <f t="shared" si="206"/>
        <v>521.5374204</v>
      </c>
      <c r="H239" s="174">
        <f t="shared" si="206"/>
        <v>463.0001537</v>
      </c>
      <c r="I239" s="174">
        <f t="shared" si="206"/>
        <v>416.2772678</v>
      </c>
      <c r="J239" s="175">
        <f t="shared" si="206"/>
        <v>363.585906</v>
      </c>
      <c r="K239" s="175">
        <f t="shared" si="206"/>
        <v>318.8513364</v>
      </c>
      <c r="L239" s="175">
        <f t="shared" si="206"/>
        <v>283.9187818</v>
      </c>
      <c r="M239" s="175">
        <f t="shared" si="206"/>
        <v>255.8846949</v>
      </c>
      <c r="N239" s="175">
        <f t="shared" si="206"/>
        <v>232.889254</v>
      </c>
      <c r="O239" s="159">
        <f t="shared" si="206"/>
        <v>1201.589079</v>
      </c>
      <c r="P239" s="159">
        <f t="shared" si="206"/>
        <v>782.1098012</v>
      </c>
      <c r="Q239" s="159">
        <f t="shared" si="206"/>
        <v>579.7254581</v>
      </c>
      <c r="R239" s="159">
        <f t="shared" si="206"/>
        <v>460.5501875</v>
      </c>
      <c r="S239" s="159">
        <f t="shared" si="206"/>
        <v>382.0180141</v>
      </c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67">
        <v>271.0</v>
      </c>
      <c r="C240" s="168" t="s">
        <v>61</v>
      </c>
      <c r="D240" s="179">
        <f t="shared" ref="D240:S240" si="207">$B240/HLOOKUP(D$230,INDIRECT(CONCATENATE("ChestValue", SUBSTITUTE($B$229," ",""))),7,FALSE)</f>
        <v>1057.014823</v>
      </c>
      <c r="E240" s="176">
        <f t="shared" si="207"/>
        <v>883.9738111</v>
      </c>
      <c r="F240" s="176">
        <f t="shared" si="207"/>
        <v>756.0376956</v>
      </c>
      <c r="G240" s="176">
        <f t="shared" si="207"/>
        <v>660.4515931</v>
      </c>
      <c r="H240" s="176">
        <f t="shared" si="207"/>
        <v>586.3226246</v>
      </c>
      <c r="I240" s="176">
        <f t="shared" si="207"/>
        <v>527.1548578</v>
      </c>
      <c r="J240" s="177">
        <f t="shared" si="207"/>
        <v>460.4288809</v>
      </c>
      <c r="K240" s="177">
        <f t="shared" si="207"/>
        <v>403.7790288</v>
      </c>
      <c r="L240" s="177">
        <f t="shared" si="207"/>
        <v>359.5420087</v>
      </c>
      <c r="M240" s="177">
        <f t="shared" si="207"/>
        <v>324.0408987</v>
      </c>
      <c r="N240" s="177">
        <f t="shared" si="207"/>
        <v>294.9205039</v>
      </c>
      <c r="O240" s="164">
        <f t="shared" si="207"/>
        <v>1521.638506</v>
      </c>
      <c r="P240" s="164">
        <f t="shared" si="207"/>
        <v>990.4287669</v>
      </c>
      <c r="Q240" s="164">
        <f t="shared" si="207"/>
        <v>734.1383137</v>
      </c>
      <c r="R240" s="164">
        <f t="shared" si="207"/>
        <v>583.2200973</v>
      </c>
      <c r="S240" s="164">
        <f t="shared" si="207"/>
        <v>483.7704758</v>
      </c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69">
        <v>571.0</v>
      </c>
      <c r="C241" s="170" t="s">
        <v>32</v>
      </c>
      <c r="D241" s="178">
        <f t="shared" ref="D241:S241" si="208">$B241/HLOOKUP(D$230,INDIRECT(CONCATENATE("ChestValue", SUBSTITUTE($B$229," ",""))),7,FALSE)</f>
        <v>2227.141933</v>
      </c>
      <c r="E241" s="174">
        <f t="shared" si="208"/>
        <v>1862.542606</v>
      </c>
      <c r="F241" s="174">
        <f t="shared" si="208"/>
        <v>1592.979794</v>
      </c>
      <c r="G241" s="174">
        <f t="shared" si="208"/>
        <v>1391.578818</v>
      </c>
      <c r="H241" s="174">
        <f t="shared" si="208"/>
        <v>1235.388261</v>
      </c>
      <c r="I241" s="174">
        <f t="shared" si="208"/>
        <v>1110.721121</v>
      </c>
      <c r="J241" s="175">
        <f t="shared" si="208"/>
        <v>970.1287491</v>
      </c>
      <c r="K241" s="175">
        <f t="shared" si="208"/>
        <v>850.7668835</v>
      </c>
      <c r="L241" s="175">
        <f t="shared" si="208"/>
        <v>757.5589926</v>
      </c>
      <c r="M241" s="175">
        <f t="shared" si="208"/>
        <v>682.7577607</v>
      </c>
      <c r="N241" s="175">
        <f t="shared" si="208"/>
        <v>621.4007664</v>
      </c>
      <c r="O241" s="159">
        <f t="shared" si="208"/>
        <v>3206.109178</v>
      </c>
      <c r="P241" s="159">
        <f t="shared" si="208"/>
        <v>2086.844376</v>
      </c>
      <c r="Q241" s="159">
        <f t="shared" si="208"/>
        <v>1546.837554</v>
      </c>
      <c r="R241" s="159">
        <f t="shared" si="208"/>
        <v>1228.851201</v>
      </c>
      <c r="S241" s="159">
        <f t="shared" si="208"/>
        <v>1019.309748</v>
      </c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69">
        <v>871.0</v>
      </c>
      <c r="C242" s="170" t="s">
        <v>62</v>
      </c>
      <c r="D242" s="179">
        <f t="shared" ref="D242:S242" si="209">$B242/HLOOKUP(D$230,INDIRECT(CONCATENATE("ChestValue", SUBSTITUTE($B$229," ",""))),7,FALSE)</f>
        <v>3397.269044</v>
      </c>
      <c r="E242" s="176">
        <f t="shared" si="209"/>
        <v>2841.1114</v>
      </c>
      <c r="F242" s="176">
        <f t="shared" si="209"/>
        <v>2429.921892</v>
      </c>
      <c r="G242" s="176">
        <f t="shared" si="209"/>
        <v>2122.706043</v>
      </c>
      <c r="H242" s="176">
        <f t="shared" si="209"/>
        <v>1884.453897</v>
      </c>
      <c r="I242" s="176">
        <f t="shared" si="209"/>
        <v>1694.287384</v>
      </c>
      <c r="J242" s="177">
        <f t="shared" si="209"/>
        <v>1479.828617</v>
      </c>
      <c r="K242" s="177">
        <f t="shared" si="209"/>
        <v>1297.754738</v>
      </c>
      <c r="L242" s="177">
        <f t="shared" si="209"/>
        <v>1155.575976</v>
      </c>
      <c r="M242" s="177">
        <f t="shared" si="209"/>
        <v>1041.474623</v>
      </c>
      <c r="N242" s="177">
        <f t="shared" si="209"/>
        <v>947.881029</v>
      </c>
      <c r="O242" s="164">
        <f t="shared" si="209"/>
        <v>4890.579849</v>
      </c>
      <c r="P242" s="164">
        <f t="shared" si="209"/>
        <v>3183.259985</v>
      </c>
      <c r="Q242" s="164">
        <f t="shared" si="209"/>
        <v>2359.536794</v>
      </c>
      <c r="R242" s="164">
        <f t="shared" si="209"/>
        <v>1874.482305</v>
      </c>
      <c r="S242" s="164">
        <f t="shared" si="209"/>
        <v>1554.84902</v>
      </c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69">
        <v>1171.0</v>
      </c>
      <c r="C243" s="170" t="s">
        <v>63</v>
      </c>
      <c r="D243" s="178">
        <f t="shared" ref="D243:S243" si="210">$B243/HLOOKUP(D$230,INDIRECT(CONCATENATE("ChestValue", SUBSTITUTE($B$229," ",""))),7,FALSE)</f>
        <v>4567.396154</v>
      </c>
      <c r="E243" s="174">
        <f t="shared" si="210"/>
        <v>3819.680195</v>
      </c>
      <c r="F243" s="174">
        <f t="shared" si="210"/>
        <v>3266.863991</v>
      </c>
      <c r="G243" s="174">
        <f t="shared" si="210"/>
        <v>2853.833267</v>
      </c>
      <c r="H243" s="174">
        <f t="shared" si="210"/>
        <v>2533.519533</v>
      </c>
      <c r="I243" s="174">
        <f t="shared" si="210"/>
        <v>2277.853648</v>
      </c>
      <c r="J243" s="175">
        <f t="shared" si="210"/>
        <v>1989.528486</v>
      </c>
      <c r="K243" s="175">
        <f t="shared" si="210"/>
        <v>1744.742593</v>
      </c>
      <c r="L243" s="175">
        <f t="shared" si="210"/>
        <v>1553.59296</v>
      </c>
      <c r="M243" s="175">
        <f t="shared" si="210"/>
        <v>1400.191485</v>
      </c>
      <c r="N243" s="175">
        <f t="shared" si="210"/>
        <v>1274.361292</v>
      </c>
      <c r="O243" s="159">
        <f t="shared" si="210"/>
        <v>6575.05052</v>
      </c>
      <c r="P243" s="159">
        <f t="shared" si="210"/>
        <v>4279.675594</v>
      </c>
      <c r="Q243" s="159">
        <f t="shared" si="210"/>
        <v>3172.236035</v>
      </c>
      <c r="R243" s="159">
        <f t="shared" si="210"/>
        <v>2520.113409</v>
      </c>
      <c r="S243" s="159">
        <f t="shared" si="210"/>
        <v>2090.388292</v>
      </c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69">
        <v>1471.0</v>
      </c>
      <c r="C244" s="170" t="s">
        <v>64</v>
      </c>
      <c r="D244" s="179">
        <f t="shared" ref="D244:S244" si="211">$B244/HLOOKUP(D$230,INDIRECT(CONCATENATE("ChestValue", SUBSTITUTE($B$229," ",""))),7,FALSE)</f>
        <v>5737.523264</v>
      </c>
      <c r="E244" s="176">
        <f t="shared" si="211"/>
        <v>4798.248989</v>
      </c>
      <c r="F244" s="176">
        <f t="shared" si="211"/>
        <v>4103.806089</v>
      </c>
      <c r="G244" s="176">
        <f t="shared" si="211"/>
        <v>3584.960492</v>
      </c>
      <c r="H244" s="176">
        <f t="shared" si="211"/>
        <v>3182.585169</v>
      </c>
      <c r="I244" s="176">
        <f t="shared" si="211"/>
        <v>2861.419911</v>
      </c>
      <c r="J244" s="177">
        <f t="shared" si="211"/>
        <v>2499.228354</v>
      </c>
      <c r="K244" s="177">
        <f t="shared" si="211"/>
        <v>2191.730448</v>
      </c>
      <c r="L244" s="177">
        <f t="shared" si="211"/>
        <v>1951.609944</v>
      </c>
      <c r="M244" s="177">
        <f t="shared" si="211"/>
        <v>1758.908347</v>
      </c>
      <c r="N244" s="177">
        <f t="shared" si="211"/>
        <v>1600.841554</v>
      </c>
      <c r="O244" s="164">
        <f t="shared" si="211"/>
        <v>8259.521191</v>
      </c>
      <c r="P244" s="164">
        <f t="shared" si="211"/>
        <v>5376.091203</v>
      </c>
      <c r="Q244" s="164">
        <f t="shared" si="211"/>
        <v>3984.935275</v>
      </c>
      <c r="R244" s="164">
        <f t="shared" si="211"/>
        <v>3165.744513</v>
      </c>
      <c r="S244" s="164">
        <f t="shared" si="211"/>
        <v>2625.927564</v>
      </c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69">
        <v>1771.0</v>
      </c>
      <c r="C245" s="170" t="s">
        <v>65</v>
      </c>
      <c r="D245" s="178">
        <f t="shared" ref="D245:S245" si="212">$B245/HLOOKUP(D$230,INDIRECT(CONCATENATE("ChestValue", SUBSTITUTE($B$229," ",""))),7,FALSE)</f>
        <v>6907.650375</v>
      </c>
      <c r="E245" s="174">
        <f t="shared" si="212"/>
        <v>5776.817784</v>
      </c>
      <c r="F245" s="174">
        <f t="shared" si="212"/>
        <v>4940.748188</v>
      </c>
      <c r="G245" s="174">
        <f t="shared" si="212"/>
        <v>4316.087717</v>
      </c>
      <c r="H245" s="174">
        <f t="shared" si="212"/>
        <v>3831.650805</v>
      </c>
      <c r="I245" s="174">
        <f t="shared" si="212"/>
        <v>3444.986174</v>
      </c>
      <c r="J245" s="175">
        <f t="shared" si="212"/>
        <v>3008.928222</v>
      </c>
      <c r="K245" s="175">
        <f t="shared" si="212"/>
        <v>2638.718303</v>
      </c>
      <c r="L245" s="175">
        <f t="shared" si="212"/>
        <v>2349.626928</v>
      </c>
      <c r="M245" s="175">
        <f t="shared" si="212"/>
        <v>2117.625209</v>
      </c>
      <c r="N245" s="175">
        <f t="shared" si="212"/>
        <v>1927.321817</v>
      </c>
      <c r="O245" s="159">
        <f t="shared" si="212"/>
        <v>9943.991862</v>
      </c>
      <c r="P245" s="159">
        <f t="shared" si="212"/>
        <v>6472.506813</v>
      </c>
      <c r="Q245" s="159">
        <f t="shared" si="212"/>
        <v>4797.634515</v>
      </c>
      <c r="R245" s="159">
        <f t="shared" si="212"/>
        <v>3811.375617</v>
      </c>
      <c r="S245" s="159">
        <f t="shared" si="212"/>
        <v>3161.466837</v>
      </c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71">
        <v>3484.0</v>
      </c>
      <c r="C246" s="172" t="s">
        <v>33</v>
      </c>
      <c r="D246" s="179">
        <f t="shared" ref="D246:S246" si="213">$B246/HLOOKUP(D$230,INDIRECT(CONCATENATE("ChestValue", SUBSTITUTE($B$229," ",""))),7,FALSE)</f>
        <v>13589.07617</v>
      </c>
      <c r="E246" s="176">
        <f t="shared" si="213"/>
        <v>11364.4456</v>
      </c>
      <c r="F246" s="176">
        <f t="shared" si="213"/>
        <v>9719.687569</v>
      </c>
      <c r="G246" s="176">
        <f t="shared" si="213"/>
        <v>8490.824171</v>
      </c>
      <c r="H246" s="176">
        <f t="shared" si="213"/>
        <v>7537.815587</v>
      </c>
      <c r="I246" s="176">
        <f t="shared" si="213"/>
        <v>6777.149538</v>
      </c>
      <c r="J246" s="177">
        <f t="shared" si="213"/>
        <v>5919.314469</v>
      </c>
      <c r="K246" s="177">
        <f t="shared" si="213"/>
        <v>5191.018953</v>
      </c>
      <c r="L246" s="177">
        <f t="shared" si="213"/>
        <v>4622.303906</v>
      </c>
      <c r="M246" s="177">
        <f t="shared" si="213"/>
        <v>4165.898491</v>
      </c>
      <c r="N246" s="177">
        <f t="shared" si="213"/>
        <v>3791.524116</v>
      </c>
      <c r="O246" s="164">
        <f t="shared" si="213"/>
        <v>19562.3194</v>
      </c>
      <c r="P246" s="164">
        <f t="shared" si="213"/>
        <v>12733.03994</v>
      </c>
      <c r="Q246" s="164">
        <f t="shared" si="213"/>
        <v>9438.147177</v>
      </c>
      <c r="R246" s="164">
        <f t="shared" si="213"/>
        <v>7497.929221</v>
      </c>
      <c r="S246" s="164">
        <f t="shared" si="213"/>
        <v>6219.396081</v>
      </c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71">
        <v>5197.0</v>
      </c>
      <c r="C247" s="172" t="s">
        <v>66</v>
      </c>
      <c r="D247" s="178">
        <f t="shared" ref="D247:S247" si="214">$B247/HLOOKUP(D$230,INDIRECT(CONCATENATE("ChestValue", SUBSTITUTE($B$229," ",""))),7,FALSE)</f>
        <v>20270.50197</v>
      </c>
      <c r="E247" s="174">
        <f t="shared" si="214"/>
        <v>16952.07342</v>
      </c>
      <c r="F247" s="174">
        <f t="shared" si="214"/>
        <v>14498.62695</v>
      </c>
      <c r="G247" s="174">
        <f t="shared" si="214"/>
        <v>12665.56062</v>
      </c>
      <c r="H247" s="174">
        <f t="shared" si="214"/>
        <v>11243.98037</v>
      </c>
      <c r="I247" s="174">
        <f t="shared" si="214"/>
        <v>10109.3129</v>
      </c>
      <c r="J247" s="175">
        <f t="shared" si="214"/>
        <v>8829.700717</v>
      </c>
      <c r="K247" s="175">
        <f t="shared" si="214"/>
        <v>7743.319604</v>
      </c>
      <c r="L247" s="175">
        <f t="shared" si="214"/>
        <v>6894.980883</v>
      </c>
      <c r="M247" s="175">
        <f t="shared" si="214"/>
        <v>6214.171773</v>
      </c>
      <c r="N247" s="175">
        <f t="shared" si="214"/>
        <v>5655.726415</v>
      </c>
      <c r="O247" s="159">
        <f t="shared" si="214"/>
        <v>29180.64693</v>
      </c>
      <c r="P247" s="159">
        <f t="shared" si="214"/>
        <v>18993.57307</v>
      </c>
      <c r="Q247" s="159">
        <f t="shared" si="214"/>
        <v>14078.65984</v>
      </c>
      <c r="R247" s="159">
        <f t="shared" si="214"/>
        <v>11184.48283</v>
      </c>
      <c r="S247" s="159">
        <f t="shared" si="214"/>
        <v>9277.325325</v>
      </c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71">
        <v>6910.0</v>
      </c>
      <c r="C248" s="172" t="s">
        <v>67</v>
      </c>
      <c r="D248" s="179">
        <f t="shared" ref="D248:S248" si="215">$B248/HLOOKUP(D$230,INDIRECT(CONCATENATE("ChestValue", SUBSTITUTE($B$229," ",""))),7,FALSE)</f>
        <v>26951.92777</v>
      </c>
      <c r="E248" s="176">
        <f t="shared" si="215"/>
        <v>22539.70123</v>
      </c>
      <c r="F248" s="176">
        <f t="shared" si="215"/>
        <v>19277.56633</v>
      </c>
      <c r="G248" s="176">
        <f t="shared" si="215"/>
        <v>16840.29708</v>
      </c>
      <c r="H248" s="176">
        <f t="shared" si="215"/>
        <v>14950.14515</v>
      </c>
      <c r="I248" s="176">
        <f t="shared" si="215"/>
        <v>13441.47626</v>
      </c>
      <c r="J248" s="177">
        <f t="shared" si="215"/>
        <v>11740.08696</v>
      </c>
      <c r="K248" s="177">
        <f t="shared" si="215"/>
        <v>10295.62025</v>
      </c>
      <c r="L248" s="177">
        <f t="shared" si="215"/>
        <v>9167.657861</v>
      </c>
      <c r="M248" s="177">
        <f t="shared" si="215"/>
        <v>8262.445055</v>
      </c>
      <c r="N248" s="177">
        <f t="shared" si="215"/>
        <v>7519.928714</v>
      </c>
      <c r="O248" s="164">
        <f t="shared" si="215"/>
        <v>38798.97446</v>
      </c>
      <c r="P248" s="164">
        <f t="shared" si="215"/>
        <v>25254.1062</v>
      </c>
      <c r="Q248" s="164">
        <f t="shared" si="215"/>
        <v>18719.1725</v>
      </c>
      <c r="R248" s="164">
        <f t="shared" si="215"/>
        <v>14871.03643</v>
      </c>
      <c r="S248" s="164">
        <f t="shared" si="215"/>
        <v>12335.25457</v>
      </c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71">
        <v>8623.0</v>
      </c>
      <c r="C249" s="172" t="s">
        <v>68</v>
      </c>
      <c r="D249" s="178">
        <f t="shared" ref="D249:S249" si="216">$B249/HLOOKUP(D$230,INDIRECT(CONCATENATE("ChestValue", SUBSTITUTE($B$229," ",""))),7,FALSE)</f>
        <v>33633.35357</v>
      </c>
      <c r="E249" s="174">
        <f t="shared" si="216"/>
        <v>28127.32905</v>
      </c>
      <c r="F249" s="174">
        <f t="shared" si="216"/>
        <v>24056.50571</v>
      </c>
      <c r="G249" s="174">
        <f t="shared" si="216"/>
        <v>21015.03353</v>
      </c>
      <c r="H249" s="174">
        <f t="shared" si="216"/>
        <v>18656.30993</v>
      </c>
      <c r="I249" s="174">
        <f t="shared" si="216"/>
        <v>16773.63963</v>
      </c>
      <c r="J249" s="175">
        <f t="shared" si="216"/>
        <v>14650.47321</v>
      </c>
      <c r="K249" s="175">
        <f t="shared" si="216"/>
        <v>12847.9209</v>
      </c>
      <c r="L249" s="175">
        <f t="shared" si="216"/>
        <v>11440.33484</v>
      </c>
      <c r="M249" s="175">
        <f t="shared" si="216"/>
        <v>10310.71834</v>
      </c>
      <c r="N249" s="175">
        <f t="shared" si="216"/>
        <v>9384.131014</v>
      </c>
      <c r="O249" s="159">
        <f t="shared" si="216"/>
        <v>48417.30199</v>
      </c>
      <c r="P249" s="159">
        <f t="shared" si="216"/>
        <v>31514.63933</v>
      </c>
      <c r="Q249" s="159">
        <f t="shared" si="216"/>
        <v>23359.68516</v>
      </c>
      <c r="R249" s="159">
        <f t="shared" si="216"/>
        <v>18557.59003</v>
      </c>
      <c r="S249" s="159">
        <f t="shared" si="216"/>
        <v>15393.18381</v>
      </c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71">
        <v>10336.0</v>
      </c>
      <c r="C250" s="172" t="s">
        <v>69</v>
      </c>
      <c r="D250" s="179">
        <f t="shared" ref="D250:S250" si="217">$B250/HLOOKUP(D$230,INDIRECT(CONCATENATE("ChestValue", SUBSTITUTE($B$229," ",""))),7,FALSE)</f>
        <v>40314.77937</v>
      </c>
      <c r="E250" s="176">
        <f t="shared" si="217"/>
        <v>33714.95687</v>
      </c>
      <c r="F250" s="176">
        <f t="shared" si="217"/>
        <v>28835.4451</v>
      </c>
      <c r="G250" s="176">
        <f t="shared" si="217"/>
        <v>25189.76998</v>
      </c>
      <c r="H250" s="176">
        <f t="shared" si="217"/>
        <v>22362.47472</v>
      </c>
      <c r="I250" s="176">
        <f t="shared" si="217"/>
        <v>20105.80299</v>
      </c>
      <c r="J250" s="177">
        <f t="shared" si="217"/>
        <v>17560.85946</v>
      </c>
      <c r="K250" s="177">
        <f t="shared" si="217"/>
        <v>15400.22156</v>
      </c>
      <c r="L250" s="177">
        <f t="shared" si="217"/>
        <v>13713.01182</v>
      </c>
      <c r="M250" s="177">
        <f t="shared" si="217"/>
        <v>12358.99162</v>
      </c>
      <c r="N250" s="177">
        <f t="shared" si="217"/>
        <v>11248.33331</v>
      </c>
      <c r="O250" s="164">
        <f t="shared" si="217"/>
        <v>58035.62953</v>
      </c>
      <c r="P250" s="164">
        <f t="shared" si="217"/>
        <v>37775.17245</v>
      </c>
      <c r="Q250" s="164">
        <f t="shared" si="217"/>
        <v>28000.19783</v>
      </c>
      <c r="R250" s="164">
        <f t="shared" si="217"/>
        <v>22244.14364</v>
      </c>
      <c r="S250" s="164">
        <f t="shared" si="217"/>
        <v>18451.11306</v>
      </c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71">
        <v>12049.0</v>
      </c>
      <c r="C251" s="172" t="s">
        <v>70</v>
      </c>
      <c r="D251" s="178">
        <f t="shared" ref="D251:S251" si="218">$B251/HLOOKUP(D$230,INDIRECT(CONCATENATE("ChestValue", SUBSTITUTE($B$229," ",""))),7,FALSE)</f>
        <v>46996.20517</v>
      </c>
      <c r="E251" s="174">
        <f t="shared" si="218"/>
        <v>39302.58468</v>
      </c>
      <c r="F251" s="174">
        <f t="shared" si="218"/>
        <v>33614.38448</v>
      </c>
      <c r="G251" s="174">
        <f t="shared" si="218"/>
        <v>29364.50644</v>
      </c>
      <c r="H251" s="174">
        <f t="shared" si="218"/>
        <v>26068.6395</v>
      </c>
      <c r="I251" s="174">
        <f t="shared" si="218"/>
        <v>23437.96635</v>
      </c>
      <c r="J251" s="175">
        <f t="shared" si="218"/>
        <v>20471.24571</v>
      </c>
      <c r="K251" s="175">
        <f t="shared" si="218"/>
        <v>17952.52221</v>
      </c>
      <c r="L251" s="175">
        <f t="shared" si="218"/>
        <v>15985.68879</v>
      </c>
      <c r="M251" s="175">
        <f t="shared" si="218"/>
        <v>14407.2649</v>
      </c>
      <c r="N251" s="175">
        <f t="shared" si="218"/>
        <v>13112.53561</v>
      </c>
      <c r="O251" s="159">
        <f t="shared" si="218"/>
        <v>67653.95706</v>
      </c>
      <c r="P251" s="159">
        <f t="shared" si="218"/>
        <v>44035.70558</v>
      </c>
      <c r="Q251" s="159">
        <f t="shared" si="218"/>
        <v>32640.71049</v>
      </c>
      <c r="R251" s="159">
        <f t="shared" si="218"/>
        <v>25930.69724</v>
      </c>
      <c r="S251" s="159">
        <f t="shared" si="218"/>
        <v>21509.0423</v>
      </c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10" t="s">
        <v>52</v>
      </c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10" t="s">
        <v>49</v>
      </c>
      <c r="D254" s="173"/>
      <c r="E254" s="150" t="s">
        <v>53</v>
      </c>
      <c r="J254" s="151" t="s">
        <v>54</v>
      </c>
      <c r="O254" s="152" t="s">
        <v>55</v>
      </c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D255" s="149">
        <v>5.0</v>
      </c>
      <c r="E255" s="39">
        <v>6.0</v>
      </c>
      <c r="F255" s="39">
        <v>7.0</v>
      </c>
      <c r="G255" s="39">
        <v>8.0</v>
      </c>
      <c r="H255" s="39">
        <v>9.0</v>
      </c>
      <c r="I255" s="39">
        <v>10.0</v>
      </c>
      <c r="J255" s="40">
        <v>11.0</v>
      </c>
      <c r="K255" s="40">
        <v>12.0</v>
      </c>
      <c r="L255" s="40">
        <v>13.0</v>
      </c>
      <c r="M255" s="40">
        <v>14.0</v>
      </c>
      <c r="N255" s="40">
        <v>15.0</v>
      </c>
      <c r="O255" s="153">
        <v>16.0</v>
      </c>
      <c r="P255" s="153">
        <v>17.0</v>
      </c>
      <c r="Q255" s="153">
        <v>18.0</v>
      </c>
      <c r="R255" s="153">
        <v>19.0</v>
      </c>
      <c r="S255" s="153">
        <v>20.0</v>
      </c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54">
        <v>1.0</v>
      </c>
      <c r="C256" s="155" t="s">
        <v>27</v>
      </c>
      <c r="D256" s="178">
        <f t="shared" ref="D256:S256" si="219">$B256/HLOOKUP(D$255,INDIRECT(CONCATENATE("ChestValue", SUBSTITUTE($B$254," ",""))),7,FALSE)</f>
        <v>3.525147849</v>
      </c>
      <c r="E256" s="174">
        <f t="shared" si="219"/>
        <v>3.261895982</v>
      </c>
      <c r="F256" s="174">
        <f t="shared" si="219"/>
        <v>2.789806995</v>
      </c>
      <c r="G256" s="174">
        <f t="shared" si="219"/>
        <v>2.437090749</v>
      </c>
      <c r="H256" s="174">
        <f t="shared" si="219"/>
        <v>2.16355212</v>
      </c>
      <c r="I256" s="174">
        <f t="shared" si="219"/>
        <v>1.945220878</v>
      </c>
      <c r="J256" s="175">
        <f t="shared" si="219"/>
        <v>1.801606401</v>
      </c>
      <c r="K256" s="175">
        <f t="shared" si="219"/>
        <v>1.44599003</v>
      </c>
      <c r="L256" s="175">
        <f t="shared" si="219"/>
        <v>1.207619783</v>
      </c>
      <c r="M256" s="175">
        <f t="shared" si="219"/>
        <v>1.036717731</v>
      </c>
      <c r="N256" s="175">
        <f t="shared" si="219"/>
        <v>0.9081907956</v>
      </c>
      <c r="O256" s="159">
        <f t="shared" si="219"/>
        <v>5.615015231</v>
      </c>
      <c r="P256" s="159">
        <f t="shared" si="219"/>
        <v>3.654814441</v>
      </c>
      <c r="Q256" s="159">
        <f t="shared" si="219"/>
        <v>2.709076374</v>
      </c>
      <c r="R256" s="159">
        <f t="shared" si="219"/>
        <v>2.152170079</v>
      </c>
      <c r="S256" s="159">
        <f t="shared" si="219"/>
        <v>1.785188014</v>
      </c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60">
        <v>4.0</v>
      </c>
      <c r="C257" s="161" t="s">
        <v>28</v>
      </c>
      <c r="D257" s="179">
        <f t="shared" ref="D257:S257" si="220">$B257/HLOOKUP(D$255,INDIRECT(CONCATENATE("ChestValue", SUBSTITUTE($B$254," ",""))),7,FALSE)</f>
        <v>14.1005914</v>
      </c>
      <c r="E257" s="176">
        <f t="shared" si="220"/>
        <v>13.04758393</v>
      </c>
      <c r="F257" s="176">
        <f t="shared" si="220"/>
        <v>11.15922798</v>
      </c>
      <c r="G257" s="176">
        <f t="shared" si="220"/>
        <v>9.748362997</v>
      </c>
      <c r="H257" s="176">
        <f t="shared" si="220"/>
        <v>8.654208481</v>
      </c>
      <c r="I257" s="176">
        <f t="shared" si="220"/>
        <v>7.78088351</v>
      </c>
      <c r="J257" s="177">
        <f t="shared" si="220"/>
        <v>7.206425603</v>
      </c>
      <c r="K257" s="177">
        <f t="shared" si="220"/>
        <v>5.783960121</v>
      </c>
      <c r="L257" s="177">
        <f t="shared" si="220"/>
        <v>4.83047913</v>
      </c>
      <c r="M257" s="177">
        <f t="shared" si="220"/>
        <v>4.146870925</v>
      </c>
      <c r="N257" s="177">
        <f t="shared" si="220"/>
        <v>3.632763182</v>
      </c>
      <c r="O257" s="164">
        <f t="shared" si="220"/>
        <v>22.46006092</v>
      </c>
      <c r="P257" s="164">
        <f t="shared" si="220"/>
        <v>14.61925776</v>
      </c>
      <c r="Q257" s="164">
        <f t="shared" si="220"/>
        <v>10.8363055</v>
      </c>
      <c r="R257" s="164">
        <f t="shared" si="220"/>
        <v>8.608680316</v>
      </c>
      <c r="S257" s="164">
        <f t="shared" si="220"/>
        <v>7.140752054</v>
      </c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60">
        <v>7.0</v>
      </c>
      <c r="C258" s="161" t="s">
        <v>56</v>
      </c>
      <c r="D258" s="178">
        <f t="shared" ref="D258:S258" si="221">$B258/HLOOKUP(D$255,INDIRECT(CONCATENATE("ChestValue", SUBSTITUTE($B$254," ",""))),7,FALSE)</f>
        <v>24.67603494</v>
      </c>
      <c r="E258" s="174">
        <f t="shared" si="221"/>
        <v>22.83327187</v>
      </c>
      <c r="F258" s="174">
        <f t="shared" si="221"/>
        <v>19.52864896</v>
      </c>
      <c r="G258" s="174">
        <f t="shared" si="221"/>
        <v>17.05963525</v>
      </c>
      <c r="H258" s="174">
        <f t="shared" si="221"/>
        <v>15.14486484</v>
      </c>
      <c r="I258" s="174">
        <f t="shared" si="221"/>
        <v>13.61654614</v>
      </c>
      <c r="J258" s="175">
        <f t="shared" si="221"/>
        <v>12.61124481</v>
      </c>
      <c r="K258" s="175">
        <f t="shared" si="221"/>
        <v>10.12193021</v>
      </c>
      <c r="L258" s="175">
        <f t="shared" si="221"/>
        <v>8.453338478</v>
      </c>
      <c r="M258" s="175">
        <f t="shared" si="221"/>
        <v>7.257024118</v>
      </c>
      <c r="N258" s="175">
        <f t="shared" si="221"/>
        <v>6.357335569</v>
      </c>
      <c r="O258" s="159">
        <f t="shared" si="221"/>
        <v>39.30510662</v>
      </c>
      <c r="P258" s="159">
        <f t="shared" si="221"/>
        <v>25.58370109</v>
      </c>
      <c r="Q258" s="159">
        <f t="shared" si="221"/>
        <v>18.96353462</v>
      </c>
      <c r="R258" s="159">
        <f t="shared" si="221"/>
        <v>15.06519055</v>
      </c>
      <c r="S258" s="159">
        <f t="shared" si="221"/>
        <v>12.4963161</v>
      </c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65">
        <v>19.0</v>
      </c>
      <c r="C259" s="166" t="s">
        <v>29</v>
      </c>
      <c r="D259" s="179">
        <f t="shared" ref="D259:S259" si="222">$B259/HLOOKUP(D$255,INDIRECT(CONCATENATE("ChestValue", SUBSTITUTE($B$254," ",""))),7,FALSE)</f>
        <v>66.97780913</v>
      </c>
      <c r="E259" s="176">
        <f t="shared" si="222"/>
        <v>61.97602365</v>
      </c>
      <c r="F259" s="176">
        <f t="shared" si="222"/>
        <v>53.0063329</v>
      </c>
      <c r="G259" s="176">
        <f t="shared" si="222"/>
        <v>46.30472424</v>
      </c>
      <c r="H259" s="176">
        <f t="shared" si="222"/>
        <v>41.10749029</v>
      </c>
      <c r="I259" s="176">
        <f t="shared" si="222"/>
        <v>36.95919667</v>
      </c>
      <c r="J259" s="177">
        <f t="shared" si="222"/>
        <v>34.23052162</v>
      </c>
      <c r="K259" s="177">
        <f t="shared" si="222"/>
        <v>27.47381057</v>
      </c>
      <c r="L259" s="177">
        <f t="shared" si="222"/>
        <v>22.94477587</v>
      </c>
      <c r="M259" s="177">
        <f t="shared" si="222"/>
        <v>19.69763689</v>
      </c>
      <c r="N259" s="177">
        <f t="shared" si="222"/>
        <v>17.25562512</v>
      </c>
      <c r="O259" s="164">
        <f t="shared" si="222"/>
        <v>106.6852894</v>
      </c>
      <c r="P259" s="164">
        <f t="shared" si="222"/>
        <v>69.44147438</v>
      </c>
      <c r="Q259" s="164">
        <f t="shared" si="222"/>
        <v>51.47245111</v>
      </c>
      <c r="R259" s="164">
        <f t="shared" si="222"/>
        <v>40.8912315</v>
      </c>
      <c r="S259" s="164">
        <f t="shared" si="222"/>
        <v>33.91857226</v>
      </c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65">
        <v>31.0</v>
      </c>
      <c r="C260" s="166" t="s">
        <v>57</v>
      </c>
      <c r="D260" s="178">
        <f t="shared" ref="D260:S260" si="223">$B260/HLOOKUP(D$255,INDIRECT(CONCATENATE("ChestValue", SUBSTITUTE($B$254," ",""))),7,FALSE)</f>
        <v>109.2795833</v>
      </c>
      <c r="E260" s="174">
        <f t="shared" si="223"/>
        <v>101.1187754</v>
      </c>
      <c r="F260" s="174">
        <f t="shared" si="223"/>
        <v>86.48401683</v>
      </c>
      <c r="G260" s="174">
        <f t="shared" si="223"/>
        <v>75.54981323</v>
      </c>
      <c r="H260" s="174">
        <f t="shared" si="223"/>
        <v>67.07011573</v>
      </c>
      <c r="I260" s="174">
        <f t="shared" si="223"/>
        <v>60.30184721</v>
      </c>
      <c r="J260" s="175">
        <f t="shared" si="223"/>
        <v>55.84979843</v>
      </c>
      <c r="K260" s="175">
        <f t="shared" si="223"/>
        <v>44.82569094</v>
      </c>
      <c r="L260" s="175">
        <f t="shared" si="223"/>
        <v>37.43621326</v>
      </c>
      <c r="M260" s="175">
        <f t="shared" si="223"/>
        <v>32.13824967</v>
      </c>
      <c r="N260" s="175">
        <f t="shared" si="223"/>
        <v>28.15391466</v>
      </c>
      <c r="O260" s="159">
        <f t="shared" si="223"/>
        <v>174.0654722</v>
      </c>
      <c r="P260" s="159">
        <f t="shared" si="223"/>
        <v>113.2992477</v>
      </c>
      <c r="Q260" s="159">
        <f t="shared" si="223"/>
        <v>83.9813676</v>
      </c>
      <c r="R260" s="159">
        <f t="shared" si="223"/>
        <v>66.71727245</v>
      </c>
      <c r="S260" s="159">
        <f t="shared" si="223"/>
        <v>55.34082842</v>
      </c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65">
        <v>43.0</v>
      </c>
      <c r="C261" s="166" t="s">
        <v>58</v>
      </c>
      <c r="D261" s="179">
        <f t="shared" ref="D261:S261" si="224">$B261/HLOOKUP(D$255,INDIRECT(CONCATENATE("ChestValue", SUBSTITUTE($B$254," ",""))),7,FALSE)</f>
        <v>151.5813575</v>
      </c>
      <c r="E261" s="176">
        <f t="shared" si="224"/>
        <v>140.2615272</v>
      </c>
      <c r="F261" s="176">
        <f t="shared" si="224"/>
        <v>119.9617008</v>
      </c>
      <c r="G261" s="176">
        <f t="shared" si="224"/>
        <v>104.7949022</v>
      </c>
      <c r="H261" s="176">
        <f t="shared" si="224"/>
        <v>93.03274117</v>
      </c>
      <c r="I261" s="176">
        <f t="shared" si="224"/>
        <v>83.64449774</v>
      </c>
      <c r="J261" s="177">
        <f t="shared" si="224"/>
        <v>77.46907524</v>
      </c>
      <c r="K261" s="177">
        <f t="shared" si="224"/>
        <v>62.1775713</v>
      </c>
      <c r="L261" s="177">
        <f t="shared" si="224"/>
        <v>51.92765065</v>
      </c>
      <c r="M261" s="177">
        <f t="shared" si="224"/>
        <v>44.57886244</v>
      </c>
      <c r="N261" s="177">
        <f t="shared" si="224"/>
        <v>39.05220421</v>
      </c>
      <c r="O261" s="164">
        <f t="shared" si="224"/>
        <v>241.4456549</v>
      </c>
      <c r="P261" s="164">
        <f t="shared" si="224"/>
        <v>157.157021</v>
      </c>
      <c r="Q261" s="164">
        <f t="shared" si="224"/>
        <v>116.4902841</v>
      </c>
      <c r="R261" s="164">
        <f t="shared" si="224"/>
        <v>92.54331339</v>
      </c>
      <c r="S261" s="164">
        <f t="shared" si="224"/>
        <v>76.76308458</v>
      </c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67">
        <v>100.0</v>
      </c>
      <c r="C262" s="168" t="s">
        <v>31</v>
      </c>
      <c r="D262" s="178">
        <f t="shared" ref="D262:S262" si="225">$B262/HLOOKUP(D$255,INDIRECT(CONCATENATE("ChestValue", SUBSTITUTE($B$254," ",""))),7,FALSE)</f>
        <v>352.5147849</v>
      </c>
      <c r="E262" s="174">
        <f t="shared" si="225"/>
        <v>326.1895982</v>
      </c>
      <c r="F262" s="174">
        <f t="shared" si="225"/>
        <v>278.9806995</v>
      </c>
      <c r="G262" s="174">
        <f t="shared" si="225"/>
        <v>243.7090749</v>
      </c>
      <c r="H262" s="174">
        <f t="shared" si="225"/>
        <v>216.355212</v>
      </c>
      <c r="I262" s="174">
        <f t="shared" si="225"/>
        <v>194.5220878</v>
      </c>
      <c r="J262" s="175">
        <f t="shared" si="225"/>
        <v>180.1606401</v>
      </c>
      <c r="K262" s="175">
        <f t="shared" si="225"/>
        <v>144.599003</v>
      </c>
      <c r="L262" s="175">
        <f t="shared" si="225"/>
        <v>120.7619783</v>
      </c>
      <c r="M262" s="175">
        <f t="shared" si="225"/>
        <v>103.6717731</v>
      </c>
      <c r="N262" s="175">
        <f t="shared" si="225"/>
        <v>90.81907956</v>
      </c>
      <c r="O262" s="159">
        <f t="shared" si="225"/>
        <v>561.5015231</v>
      </c>
      <c r="P262" s="159">
        <f t="shared" si="225"/>
        <v>365.4814441</v>
      </c>
      <c r="Q262" s="159">
        <f t="shared" si="225"/>
        <v>270.9076374</v>
      </c>
      <c r="R262" s="159">
        <f t="shared" si="225"/>
        <v>215.2170079</v>
      </c>
      <c r="S262" s="159">
        <f t="shared" si="225"/>
        <v>178.5188014</v>
      </c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67">
        <v>157.0</v>
      </c>
      <c r="C263" s="168" t="s">
        <v>59</v>
      </c>
      <c r="D263" s="179">
        <f t="shared" ref="D263:S263" si="226">$B263/HLOOKUP(D$255,INDIRECT(CONCATENATE("ChestValue", SUBSTITUTE($B$254," ",""))),7,FALSE)</f>
        <v>553.4482123</v>
      </c>
      <c r="E263" s="176">
        <f t="shared" si="226"/>
        <v>512.1176691</v>
      </c>
      <c r="F263" s="176">
        <f t="shared" si="226"/>
        <v>437.9996982</v>
      </c>
      <c r="G263" s="176">
        <f t="shared" si="226"/>
        <v>382.6232476</v>
      </c>
      <c r="H263" s="176">
        <f t="shared" si="226"/>
        <v>339.6776829</v>
      </c>
      <c r="I263" s="176">
        <f t="shared" si="226"/>
        <v>305.3996778</v>
      </c>
      <c r="J263" s="177">
        <f t="shared" si="226"/>
        <v>282.8522049</v>
      </c>
      <c r="K263" s="177">
        <f t="shared" si="226"/>
        <v>227.0204347</v>
      </c>
      <c r="L263" s="177">
        <f t="shared" si="226"/>
        <v>189.5963059</v>
      </c>
      <c r="M263" s="177">
        <f t="shared" si="226"/>
        <v>162.7646838</v>
      </c>
      <c r="N263" s="177">
        <f t="shared" si="226"/>
        <v>142.5859549</v>
      </c>
      <c r="O263" s="164">
        <f t="shared" si="226"/>
        <v>881.5573913</v>
      </c>
      <c r="P263" s="164">
        <f t="shared" si="226"/>
        <v>573.8058672</v>
      </c>
      <c r="Q263" s="164">
        <f t="shared" si="226"/>
        <v>425.3249907</v>
      </c>
      <c r="R263" s="164">
        <f t="shared" si="226"/>
        <v>337.8907024</v>
      </c>
      <c r="S263" s="164">
        <f t="shared" si="226"/>
        <v>280.2745181</v>
      </c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67">
        <v>214.0</v>
      </c>
      <c r="C264" s="168" t="s">
        <v>60</v>
      </c>
      <c r="D264" s="178">
        <f t="shared" ref="D264:S264" si="227">$B264/HLOOKUP(D$255,INDIRECT(CONCATENATE("ChestValue", SUBSTITUTE($B$254," ",""))),7,FALSE)</f>
        <v>754.3816397</v>
      </c>
      <c r="E264" s="174">
        <f t="shared" si="227"/>
        <v>698.0457401</v>
      </c>
      <c r="F264" s="174">
        <f t="shared" si="227"/>
        <v>597.0186969</v>
      </c>
      <c r="G264" s="174">
        <f t="shared" si="227"/>
        <v>521.5374204</v>
      </c>
      <c r="H264" s="174">
        <f t="shared" si="227"/>
        <v>463.0001537</v>
      </c>
      <c r="I264" s="174">
        <f t="shared" si="227"/>
        <v>416.2772678</v>
      </c>
      <c r="J264" s="175">
        <f t="shared" si="227"/>
        <v>385.5437698</v>
      </c>
      <c r="K264" s="175">
        <f t="shared" si="227"/>
        <v>309.4418665</v>
      </c>
      <c r="L264" s="175">
        <f t="shared" si="227"/>
        <v>258.4306335</v>
      </c>
      <c r="M264" s="175">
        <f t="shared" si="227"/>
        <v>221.8575945</v>
      </c>
      <c r="N264" s="175">
        <f t="shared" si="227"/>
        <v>194.3528303</v>
      </c>
      <c r="O264" s="159">
        <f t="shared" si="227"/>
        <v>1201.613259</v>
      </c>
      <c r="P264" s="159">
        <f t="shared" si="227"/>
        <v>782.1302903</v>
      </c>
      <c r="Q264" s="159">
        <f t="shared" si="227"/>
        <v>579.742344</v>
      </c>
      <c r="R264" s="159">
        <f t="shared" si="227"/>
        <v>460.5643969</v>
      </c>
      <c r="S264" s="159">
        <f t="shared" si="227"/>
        <v>382.0302349</v>
      </c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67">
        <v>271.0</v>
      </c>
      <c r="C265" s="168" t="s">
        <v>61</v>
      </c>
      <c r="D265" s="179">
        <f t="shared" ref="D265:S265" si="228">$B265/HLOOKUP(D$255,INDIRECT(CONCATENATE("ChestValue", SUBSTITUTE($B$254," ",""))),7,FALSE)</f>
        <v>955.3150671</v>
      </c>
      <c r="E265" s="176">
        <f t="shared" si="228"/>
        <v>883.9738111</v>
      </c>
      <c r="F265" s="176">
        <f t="shared" si="228"/>
        <v>756.0376956</v>
      </c>
      <c r="G265" s="176">
        <f t="shared" si="228"/>
        <v>660.4515931</v>
      </c>
      <c r="H265" s="176">
        <f t="shared" si="228"/>
        <v>586.3226246</v>
      </c>
      <c r="I265" s="176">
        <f t="shared" si="228"/>
        <v>527.1548578</v>
      </c>
      <c r="J265" s="177">
        <f t="shared" si="228"/>
        <v>488.2353346</v>
      </c>
      <c r="K265" s="177">
        <f t="shared" si="228"/>
        <v>391.8632982</v>
      </c>
      <c r="L265" s="177">
        <f t="shared" si="228"/>
        <v>327.2649611</v>
      </c>
      <c r="M265" s="177">
        <f t="shared" si="228"/>
        <v>280.9505051</v>
      </c>
      <c r="N265" s="177">
        <f t="shared" si="228"/>
        <v>246.1197056</v>
      </c>
      <c r="O265" s="164">
        <f t="shared" si="228"/>
        <v>1521.669128</v>
      </c>
      <c r="P265" s="164">
        <f t="shared" si="228"/>
        <v>990.4547135</v>
      </c>
      <c r="Q265" s="164">
        <f t="shared" si="228"/>
        <v>734.1596974</v>
      </c>
      <c r="R265" s="164">
        <f t="shared" si="228"/>
        <v>583.2380914</v>
      </c>
      <c r="S265" s="164">
        <f t="shared" si="228"/>
        <v>483.7859517</v>
      </c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69">
        <v>571.0</v>
      </c>
      <c r="C266" s="170" t="s">
        <v>32</v>
      </c>
      <c r="D266" s="178">
        <f t="shared" ref="D266:S266" si="229">$B266/HLOOKUP(D$255,INDIRECT(CONCATENATE("ChestValue", SUBSTITUTE($B$254," ",""))),7,FALSE)</f>
        <v>2012.859422</v>
      </c>
      <c r="E266" s="174">
        <f t="shared" si="229"/>
        <v>1862.542606</v>
      </c>
      <c r="F266" s="174">
        <f t="shared" si="229"/>
        <v>1592.979794</v>
      </c>
      <c r="G266" s="174">
        <f t="shared" si="229"/>
        <v>1391.578818</v>
      </c>
      <c r="H266" s="174">
        <f t="shared" si="229"/>
        <v>1235.388261</v>
      </c>
      <c r="I266" s="174">
        <f t="shared" si="229"/>
        <v>1110.721121</v>
      </c>
      <c r="J266" s="175">
        <f t="shared" si="229"/>
        <v>1028.717255</v>
      </c>
      <c r="K266" s="175">
        <f t="shared" si="229"/>
        <v>825.6603073</v>
      </c>
      <c r="L266" s="175">
        <f t="shared" si="229"/>
        <v>689.5508958</v>
      </c>
      <c r="M266" s="175">
        <f t="shared" si="229"/>
        <v>591.9658245</v>
      </c>
      <c r="N266" s="175">
        <f t="shared" si="229"/>
        <v>518.5769443</v>
      </c>
      <c r="O266" s="159">
        <f t="shared" si="229"/>
        <v>3206.173697</v>
      </c>
      <c r="P266" s="159">
        <f t="shared" si="229"/>
        <v>2086.899046</v>
      </c>
      <c r="Q266" s="159">
        <f t="shared" si="229"/>
        <v>1546.88261</v>
      </c>
      <c r="R266" s="159">
        <f t="shared" si="229"/>
        <v>1228.889115</v>
      </c>
      <c r="S266" s="159">
        <f t="shared" si="229"/>
        <v>1019.342356</v>
      </c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69">
        <v>871.0</v>
      </c>
      <c r="C267" s="170" t="s">
        <v>62</v>
      </c>
      <c r="D267" s="179">
        <f t="shared" ref="D267:S267" si="230">$B267/HLOOKUP(D$255,INDIRECT(CONCATENATE("ChestValue", SUBSTITUTE($B$254," ",""))),7,FALSE)</f>
        <v>3070.403777</v>
      </c>
      <c r="E267" s="176">
        <f t="shared" si="230"/>
        <v>2841.1114</v>
      </c>
      <c r="F267" s="176">
        <f t="shared" si="230"/>
        <v>2429.921892</v>
      </c>
      <c r="G267" s="176">
        <f t="shared" si="230"/>
        <v>2122.706043</v>
      </c>
      <c r="H267" s="176">
        <f t="shared" si="230"/>
        <v>1884.453897</v>
      </c>
      <c r="I267" s="176">
        <f t="shared" si="230"/>
        <v>1694.287384</v>
      </c>
      <c r="J267" s="177">
        <f t="shared" si="230"/>
        <v>1569.199175</v>
      </c>
      <c r="K267" s="177">
        <f t="shared" si="230"/>
        <v>1259.457316</v>
      </c>
      <c r="L267" s="177">
        <f t="shared" si="230"/>
        <v>1051.836831</v>
      </c>
      <c r="M267" s="177">
        <f t="shared" si="230"/>
        <v>902.9811438</v>
      </c>
      <c r="N267" s="177">
        <f t="shared" si="230"/>
        <v>791.0341829</v>
      </c>
      <c r="O267" s="164">
        <f t="shared" si="230"/>
        <v>4890.678266</v>
      </c>
      <c r="P267" s="164">
        <f t="shared" si="230"/>
        <v>3183.343378</v>
      </c>
      <c r="Q267" s="164">
        <f t="shared" si="230"/>
        <v>2359.605522</v>
      </c>
      <c r="R267" s="164">
        <f t="shared" si="230"/>
        <v>1874.540139</v>
      </c>
      <c r="S267" s="164">
        <f t="shared" si="230"/>
        <v>1554.89876</v>
      </c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69">
        <v>1171.0</v>
      </c>
      <c r="C268" s="170" t="s">
        <v>63</v>
      </c>
      <c r="D268" s="178">
        <f t="shared" ref="D268:S268" si="231">$B268/HLOOKUP(D$255,INDIRECT(CONCATENATE("ChestValue", SUBSTITUTE($B$254," ",""))),7,FALSE)</f>
        <v>4127.948131</v>
      </c>
      <c r="E268" s="174">
        <f t="shared" si="231"/>
        <v>3819.680195</v>
      </c>
      <c r="F268" s="174">
        <f t="shared" si="231"/>
        <v>3266.863991</v>
      </c>
      <c r="G268" s="174">
        <f t="shared" si="231"/>
        <v>2853.833267</v>
      </c>
      <c r="H268" s="174">
        <f t="shared" si="231"/>
        <v>2533.519533</v>
      </c>
      <c r="I268" s="174">
        <f t="shared" si="231"/>
        <v>2277.853648</v>
      </c>
      <c r="J268" s="175">
        <f t="shared" si="231"/>
        <v>2109.681095</v>
      </c>
      <c r="K268" s="175">
        <f t="shared" si="231"/>
        <v>1693.254325</v>
      </c>
      <c r="L268" s="175">
        <f t="shared" si="231"/>
        <v>1414.122765</v>
      </c>
      <c r="M268" s="175">
        <f t="shared" si="231"/>
        <v>1213.996463</v>
      </c>
      <c r="N268" s="175">
        <f t="shared" si="231"/>
        <v>1063.491422</v>
      </c>
      <c r="O268" s="159">
        <f t="shared" si="231"/>
        <v>6575.182836</v>
      </c>
      <c r="P268" s="159">
        <f t="shared" si="231"/>
        <v>4279.78771</v>
      </c>
      <c r="Q268" s="159">
        <f t="shared" si="231"/>
        <v>3172.328434</v>
      </c>
      <c r="R268" s="159">
        <f t="shared" si="231"/>
        <v>2520.191162</v>
      </c>
      <c r="S268" s="159">
        <f t="shared" si="231"/>
        <v>2090.455164</v>
      </c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69">
        <v>1471.0</v>
      </c>
      <c r="C269" s="170" t="s">
        <v>64</v>
      </c>
      <c r="D269" s="179">
        <f t="shared" ref="D269:S269" si="232">$B269/HLOOKUP(D$255,INDIRECT(CONCATENATE("ChestValue", SUBSTITUTE($B$254," ",""))),7,FALSE)</f>
        <v>5185.492486</v>
      </c>
      <c r="E269" s="176">
        <f t="shared" si="232"/>
        <v>4798.248989</v>
      </c>
      <c r="F269" s="176">
        <f t="shared" si="232"/>
        <v>4103.806089</v>
      </c>
      <c r="G269" s="176">
        <f t="shared" si="232"/>
        <v>3584.960492</v>
      </c>
      <c r="H269" s="176">
        <f t="shared" si="232"/>
        <v>3182.585169</v>
      </c>
      <c r="I269" s="176">
        <f t="shared" si="232"/>
        <v>2861.419911</v>
      </c>
      <c r="J269" s="177">
        <f t="shared" si="232"/>
        <v>2650.163016</v>
      </c>
      <c r="K269" s="177">
        <f t="shared" si="232"/>
        <v>2127.051335</v>
      </c>
      <c r="L269" s="177">
        <f t="shared" si="232"/>
        <v>1776.4087</v>
      </c>
      <c r="M269" s="177">
        <f t="shared" si="232"/>
        <v>1525.011783</v>
      </c>
      <c r="N269" s="177">
        <f t="shared" si="232"/>
        <v>1335.94866</v>
      </c>
      <c r="O269" s="164">
        <f t="shared" si="232"/>
        <v>8259.687405</v>
      </c>
      <c r="P269" s="164">
        <f t="shared" si="232"/>
        <v>5376.232042</v>
      </c>
      <c r="Q269" s="164">
        <f t="shared" si="232"/>
        <v>3985.051346</v>
      </c>
      <c r="R269" s="164">
        <f t="shared" si="232"/>
        <v>3165.842186</v>
      </c>
      <c r="S269" s="164">
        <f t="shared" si="232"/>
        <v>2626.011568</v>
      </c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69">
        <v>1771.0</v>
      </c>
      <c r="C270" s="170" t="s">
        <v>65</v>
      </c>
      <c r="D270" s="178">
        <f t="shared" ref="D270:S270" si="233">$B270/HLOOKUP(D$255,INDIRECT(CONCATENATE("ChestValue", SUBSTITUTE($B$254," ",""))),7,FALSE)</f>
        <v>6243.036841</v>
      </c>
      <c r="E270" s="174">
        <f t="shared" si="233"/>
        <v>5776.817784</v>
      </c>
      <c r="F270" s="174">
        <f t="shared" si="233"/>
        <v>4940.748188</v>
      </c>
      <c r="G270" s="174">
        <f t="shared" si="233"/>
        <v>4316.087717</v>
      </c>
      <c r="H270" s="174">
        <f t="shared" si="233"/>
        <v>3831.650805</v>
      </c>
      <c r="I270" s="174">
        <f t="shared" si="233"/>
        <v>3444.986174</v>
      </c>
      <c r="J270" s="175">
        <f t="shared" si="233"/>
        <v>3190.644936</v>
      </c>
      <c r="K270" s="175">
        <f t="shared" si="233"/>
        <v>2560.848344</v>
      </c>
      <c r="L270" s="175">
        <f t="shared" si="233"/>
        <v>2138.694635</v>
      </c>
      <c r="M270" s="175">
        <f t="shared" si="233"/>
        <v>1836.027102</v>
      </c>
      <c r="N270" s="175">
        <f t="shared" si="233"/>
        <v>1608.405899</v>
      </c>
      <c r="O270" s="159">
        <f t="shared" si="233"/>
        <v>9944.191974</v>
      </c>
      <c r="P270" s="159">
        <f t="shared" si="233"/>
        <v>6472.676375</v>
      </c>
      <c r="Q270" s="159">
        <f t="shared" si="233"/>
        <v>4797.774258</v>
      </c>
      <c r="R270" s="159">
        <f t="shared" si="233"/>
        <v>3811.49321</v>
      </c>
      <c r="S270" s="159">
        <f t="shared" si="233"/>
        <v>3161.567972</v>
      </c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71">
        <v>3484.0</v>
      </c>
      <c r="C271" s="172" t="s">
        <v>33</v>
      </c>
      <c r="D271" s="179">
        <f t="shared" ref="D271:S271" si="234">$B271/HLOOKUP(D$255,INDIRECT(CONCATENATE("ChestValue", SUBSTITUTE($B$254," ",""))),7,FALSE)</f>
        <v>12281.61511</v>
      </c>
      <c r="E271" s="176">
        <f t="shared" si="234"/>
        <v>11364.4456</v>
      </c>
      <c r="F271" s="176">
        <f t="shared" si="234"/>
        <v>9719.687569</v>
      </c>
      <c r="G271" s="176">
        <f t="shared" si="234"/>
        <v>8490.824171</v>
      </c>
      <c r="H271" s="176">
        <f t="shared" si="234"/>
        <v>7537.815587</v>
      </c>
      <c r="I271" s="176">
        <f t="shared" si="234"/>
        <v>6777.149538</v>
      </c>
      <c r="J271" s="177">
        <f t="shared" si="234"/>
        <v>6276.796701</v>
      </c>
      <c r="K271" s="177">
        <f t="shared" si="234"/>
        <v>5037.829265</v>
      </c>
      <c r="L271" s="177">
        <f t="shared" si="234"/>
        <v>4207.347322</v>
      </c>
      <c r="M271" s="177">
        <f t="shared" si="234"/>
        <v>3611.924575</v>
      </c>
      <c r="N271" s="177">
        <f t="shared" si="234"/>
        <v>3164.136732</v>
      </c>
      <c r="O271" s="164">
        <f t="shared" si="234"/>
        <v>19562.71307</v>
      </c>
      <c r="P271" s="164">
        <f t="shared" si="234"/>
        <v>12733.37351</v>
      </c>
      <c r="Q271" s="164">
        <f t="shared" si="234"/>
        <v>9438.422087</v>
      </c>
      <c r="R271" s="164">
        <f t="shared" si="234"/>
        <v>7498.160555</v>
      </c>
      <c r="S271" s="164">
        <f t="shared" si="234"/>
        <v>6219.595039</v>
      </c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71">
        <v>5197.0</v>
      </c>
      <c r="C272" s="172" t="s">
        <v>66</v>
      </c>
      <c r="D272" s="178">
        <f t="shared" ref="D272:S272" si="235">$B272/HLOOKUP(D$255,INDIRECT(CONCATENATE("ChestValue", SUBSTITUTE($B$254," ",""))),7,FALSE)</f>
        <v>18320.19337</v>
      </c>
      <c r="E272" s="174">
        <f t="shared" si="235"/>
        <v>16952.07342</v>
      </c>
      <c r="F272" s="174">
        <f t="shared" si="235"/>
        <v>14498.62695</v>
      </c>
      <c r="G272" s="174">
        <f t="shared" si="235"/>
        <v>12665.56062</v>
      </c>
      <c r="H272" s="174">
        <f t="shared" si="235"/>
        <v>11243.98037</v>
      </c>
      <c r="I272" s="174">
        <f t="shared" si="235"/>
        <v>10109.3129</v>
      </c>
      <c r="J272" s="175">
        <f t="shared" si="235"/>
        <v>9362.948465</v>
      </c>
      <c r="K272" s="175">
        <f t="shared" si="235"/>
        <v>7514.810187</v>
      </c>
      <c r="L272" s="175">
        <f t="shared" si="235"/>
        <v>6276.00001</v>
      </c>
      <c r="M272" s="175">
        <f t="shared" si="235"/>
        <v>5387.822049</v>
      </c>
      <c r="N272" s="175">
        <f t="shared" si="235"/>
        <v>4719.867565</v>
      </c>
      <c r="O272" s="159">
        <f t="shared" si="235"/>
        <v>29181.23416</v>
      </c>
      <c r="P272" s="159">
        <f t="shared" si="235"/>
        <v>18994.07065</v>
      </c>
      <c r="Q272" s="159">
        <f t="shared" si="235"/>
        <v>14079.06992</v>
      </c>
      <c r="R272" s="159">
        <f t="shared" si="235"/>
        <v>11184.8279</v>
      </c>
      <c r="S272" s="159">
        <f t="shared" si="235"/>
        <v>9277.622107</v>
      </c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71">
        <v>6910.0</v>
      </c>
      <c r="C273" s="172" t="s">
        <v>67</v>
      </c>
      <c r="D273" s="179">
        <f t="shared" ref="D273:S273" si="236">$B273/HLOOKUP(D$255,INDIRECT(CONCATENATE("ChestValue", SUBSTITUTE($B$254," ",""))),7,FALSE)</f>
        <v>24358.77164</v>
      </c>
      <c r="E273" s="176">
        <f t="shared" si="236"/>
        <v>22539.70123</v>
      </c>
      <c r="F273" s="176">
        <f t="shared" si="236"/>
        <v>19277.56633</v>
      </c>
      <c r="G273" s="176">
        <f t="shared" si="236"/>
        <v>16840.29708</v>
      </c>
      <c r="H273" s="176">
        <f t="shared" si="236"/>
        <v>14950.14515</v>
      </c>
      <c r="I273" s="176">
        <f t="shared" si="236"/>
        <v>13441.47626</v>
      </c>
      <c r="J273" s="177">
        <f t="shared" si="236"/>
        <v>12449.10023</v>
      </c>
      <c r="K273" s="177">
        <f t="shared" si="236"/>
        <v>9991.791109</v>
      </c>
      <c r="L273" s="177">
        <f t="shared" si="236"/>
        <v>8344.652697</v>
      </c>
      <c r="M273" s="177">
        <f t="shared" si="236"/>
        <v>7163.719522</v>
      </c>
      <c r="N273" s="177">
        <f t="shared" si="236"/>
        <v>6275.598397</v>
      </c>
      <c r="O273" s="164">
        <f t="shared" si="236"/>
        <v>38799.75525</v>
      </c>
      <c r="P273" s="164">
        <f t="shared" si="236"/>
        <v>25254.76779</v>
      </c>
      <c r="Q273" s="164">
        <f t="shared" si="236"/>
        <v>18719.71774</v>
      </c>
      <c r="R273" s="164">
        <f t="shared" si="236"/>
        <v>14871.49525</v>
      </c>
      <c r="S273" s="164">
        <f t="shared" si="236"/>
        <v>12335.64917</v>
      </c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71">
        <v>8623.0</v>
      </c>
      <c r="C274" s="172" t="s">
        <v>68</v>
      </c>
      <c r="D274" s="178">
        <f t="shared" ref="D274:S274" si="237">$B274/HLOOKUP(D$255,INDIRECT(CONCATENATE("ChestValue", SUBSTITUTE($B$254," ",""))),7,FALSE)</f>
        <v>30397.3499</v>
      </c>
      <c r="E274" s="174">
        <f t="shared" si="237"/>
        <v>28127.32905</v>
      </c>
      <c r="F274" s="174">
        <f t="shared" si="237"/>
        <v>24056.50571</v>
      </c>
      <c r="G274" s="174">
        <f t="shared" si="237"/>
        <v>21015.03353</v>
      </c>
      <c r="H274" s="174">
        <f t="shared" si="237"/>
        <v>18656.30993</v>
      </c>
      <c r="I274" s="174">
        <f t="shared" si="237"/>
        <v>16773.63963</v>
      </c>
      <c r="J274" s="175">
        <f t="shared" si="237"/>
        <v>15535.25199</v>
      </c>
      <c r="K274" s="175">
        <f t="shared" si="237"/>
        <v>12468.77203</v>
      </c>
      <c r="L274" s="175">
        <f t="shared" si="237"/>
        <v>10413.30538</v>
      </c>
      <c r="M274" s="175">
        <f t="shared" si="237"/>
        <v>8939.616996</v>
      </c>
      <c r="N274" s="175">
        <f t="shared" si="237"/>
        <v>7831.32923</v>
      </c>
      <c r="O274" s="159">
        <f t="shared" si="237"/>
        <v>48418.27634</v>
      </c>
      <c r="P274" s="159">
        <f t="shared" si="237"/>
        <v>31515.46492</v>
      </c>
      <c r="Q274" s="159">
        <f t="shared" si="237"/>
        <v>23360.36557</v>
      </c>
      <c r="R274" s="159">
        <f t="shared" si="237"/>
        <v>18558.16259</v>
      </c>
      <c r="S274" s="159">
        <f t="shared" si="237"/>
        <v>15393.67624</v>
      </c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71">
        <v>10336.0</v>
      </c>
      <c r="C275" s="172" t="s">
        <v>69</v>
      </c>
      <c r="D275" s="179">
        <f t="shared" ref="D275:S275" si="238">$B275/HLOOKUP(D$255,INDIRECT(CONCATENATE("ChestValue", SUBSTITUTE($B$254," ",""))),7,FALSE)</f>
        <v>36435.92817</v>
      </c>
      <c r="E275" s="176">
        <f t="shared" si="238"/>
        <v>33714.95687</v>
      </c>
      <c r="F275" s="176">
        <f t="shared" si="238"/>
        <v>28835.4451</v>
      </c>
      <c r="G275" s="176">
        <f t="shared" si="238"/>
        <v>25189.76998</v>
      </c>
      <c r="H275" s="176">
        <f t="shared" si="238"/>
        <v>22362.47472</v>
      </c>
      <c r="I275" s="176">
        <f t="shared" si="238"/>
        <v>20105.80299</v>
      </c>
      <c r="J275" s="177">
        <f t="shared" si="238"/>
        <v>18621.40376</v>
      </c>
      <c r="K275" s="177">
        <f t="shared" si="238"/>
        <v>14945.75295</v>
      </c>
      <c r="L275" s="177">
        <f t="shared" si="238"/>
        <v>12481.95807</v>
      </c>
      <c r="M275" s="177">
        <f t="shared" si="238"/>
        <v>10715.51447</v>
      </c>
      <c r="N275" s="177">
        <f t="shared" si="238"/>
        <v>9387.060063</v>
      </c>
      <c r="O275" s="164">
        <f t="shared" si="238"/>
        <v>58036.79743</v>
      </c>
      <c r="P275" s="164">
        <f t="shared" si="238"/>
        <v>37776.16206</v>
      </c>
      <c r="Q275" s="164">
        <f t="shared" si="238"/>
        <v>28001.0134</v>
      </c>
      <c r="R275" s="164">
        <f t="shared" si="238"/>
        <v>22244.82994</v>
      </c>
      <c r="S275" s="164">
        <f t="shared" si="238"/>
        <v>18451.70331</v>
      </c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71">
        <v>12049.0</v>
      </c>
      <c r="C276" s="172" t="s">
        <v>70</v>
      </c>
      <c r="D276" s="178">
        <f t="shared" ref="D276:S276" si="239">$B276/HLOOKUP(D$255,INDIRECT(CONCATENATE("ChestValue", SUBSTITUTE($B$254," ",""))),7,FALSE)</f>
        <v>42474.50643</v>
      </c>
      <c r="E276" s="174">
        <f t="shared" si="239"/>
        <v>39302.58468</v>
      </c>
      <c r="F276" s="174">
        <f t="shared" si="239"/>
        <v>33614.38448</v>
      </c>
      <c r="G276" s="174">
        <f t="shared" si="239"/>
        <v>29364.50644</v>
      </c>
      <c r="H276" s="174">
        <f t="shared" si="239"/>
        <v>26068.6395</v>
      </c>
      <c r="I276" s="174">
        <f t="shared" si="239"/>
        <v>23437.96635</v>
      </c>
      <c r="J276" s="175">
        <f t="shared" si="239"/>
        <v>21707.55552</v>
      </c>
      <c r="K276" s="175">
        <f t="shared" si="239"/>
        <v>17422.73387</v>
      </c>
      <c r="L276" s="175">
        <f t="shared" si="239"/>
        <v>14550.61076</v>
      </c>
      <c r="M276" s="175">
        <f t="shared" si="239"/>
        <v>12491.41194</v>
      </c>
      <c r="N276" s="175">
        <f t="shared" si="239"/>
        <v>10942.7909</v>
      </c>
      <c r="O276" s="159">
        <f t="shared" si="239"/>
        <v>67655.31852</v>
      </c>
      <c r="P276" s="159">
        <f t="shared" si="239"/>
        <v>44036.8592</v>
      </c>
      <c r="Q276" s="159">
        <f t="shared" si="239"/>
        <v>32641.66123</v>
      </c>
      <c r="R276" s="159">
        <f t="shared" si="239"/>
        <v>25931.49728</v>
      </c>
      <c r="S276" s="159">
        <f t="shared" si="239"/>
        <v>21509.73038</v>
      </c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10" t="s">
        <v>52</v>
      </c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10" t="s">
        <v>50</v>
      </c>
      <c r="D279" s="173"/>
      <c r="E279" s="150" t="s">
        <v>53</v>
      </c>
      <c r="J279" s="151" t="s">
        <v>54</v>
      </c>
      <c r="O279" s="152" t="s">
        <v>55</v>
      </c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D280" s="149">
        <v>5.0</v>
      </c>
      <c r="E280" s="39">
        <v>6.0</v>
      </c>
      <c r="F280" s="39">
        <v>7.0</v>
      </c>
      <c r="G280" s="39">
        <v>8.0</v>
      </c>
      <c r="H280" s="39">
        <v>9.0</v>
      </c>
      <c r="I280" s="39">
        <v>10.0</v>
      </c>
      <c r="J280" s="40">
        <v>11.0</v>
      </c>
      <c r="K280" s="40">
        <v>12.0</v>
      </c>
      <c r="L280" s="40">
        <v>13.0</v>
      </c>
      <c r="M280" s="40">
        <v>14.0</v>
      </c>
      <c r="N280" s="40">
        <v>15.0</v>
      </c>
      <c r="O280" s="153">
        <v>16.0</v>
      </c>
      <c r="P280" s="153">
        <v>17.0</v>
      </c>
      <c r="Q280" s="153">
        <v>18.0</v>
      </c>
      <c r="R280" s="153">
        <v>19.0</v>
      </c>
      <c r="S280" s="153">
        <v>20.0</v>
      </c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54">
        <v>1.0</v>
      </c>
      <c r="C281" s="155" t="s">
        <v>27</v>
      </c>
      <c r="D281" s="178">
        <f t="shared" ref="D281:S281" si="240">$B281/HLOOKUP(D$280,INDIRECT(CONCATENATE("ChestValue", SUBSTITUTE($B$279," ",""))),7,FALSE)</f>
        <v>2.075103134</v>
      </c>
      <c r="E281" s="174">
        <f t="shared" si="240"/>
        <v>2.008884803</v>
      </c>
      <c r="F281" s="174">
        <f t="shared" si="240"/>
        <v>1.894580059</v>
      </c>
      <c r="G281" s="174">
        <f t="shared" si="240"/>
        <v>1.792582813</v>
      </c>
      <c r="H281" s="174">
        <f t="shared" si="240"/>
        <v>1.701006839</v>
      </c>
      <c r="I281" s="174">
        <f t="shared" si="240"/>
        <v>1.618332619</v>
      </c>
      <c r="J281" s="175">
        <f t="shared" si="240"/>
        <v>1.223501105</v>
      </c>
      <c r="K281" s="175">
        <f t="shared" si="240"/>
        <v>1.154106882</v>
      </c>
      <c r="L281" s="175">
        <f t="shared" si="240"/>
        <v>1.092161921</v>
      </c>
      <c r="M281" s="175">
        <f t="shared" si="240"/>
        <v>1.036527839</v>
      </c>
      <c r="N281" s="175">
        <f t="shared" si="240"/>
        <v>0.9862869655</v>
      </c>
      <c r="O281" s="159">
        <f t="shared" si="240"/>
        <v>5.614789248</v>
      </c>
      <c r="P281" s="159">
        <f t="shared" si="240"/>
        <v>3.654622958</v>
      </c>
      <c r="Q281" s="159">
        <f t="shared" si="240"/>
        <v>2.708918566</v>
      </c>
      <c r="R281" s="159">
        <f t="shared" si="240"/>
        <v>2.152037285</v>
      </c>
      <c r="S281" s="159">
        <f t="shared" si="240"/>
        <v>1.785073804</v>
      </c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60">
        <v>4.0</v>
      </c>
      <c r="C282" s="161" t="s">
        <v>28</v>
      </c>
      <c r="D282" s="179">
        <f t="shared" ref="D282:S282" si="241">$B282/HLOOKUP(D$280,INDIRECT(CONCATENATE("ChestValue", SUBSTITUTE($B$279," ",""))),7,FALSE)</f>
        <v>8.300412537</v>
      </c>
      <c r="E282" s="176">
        <f t="shared" si="241"/>
        <v>8.035539211</v>
      </c>
      <c r="F282" s="176">
        <f t="shared" si="241"/>
        <v>7.578320237</v>
      </c>
      <c r="G282" s="176">
        <f t="shared" si="241"/>
        <v>7.170331251</v>
      </c>
      <c r="H282" s="176">
        <f t="shared" si="241"/>
        <v>6.804027356</v>
      </c>
      <c r="I282" s="176">
        <f t="shared" si="241"/>
        <v>6.473330476</v>
      </c>
      <c r="J282" s="177">
        <f t="shared" si="241"/>
        <v>4.89400442</v>
      </c>
      <c r="K282" s="177">
        <f t="shared" si="241"/>
        <v>4.616427527</v>
      </c>
      <c r="L282" s="177">
        <f t="shared" si="241"/>
        <v>4.368647684</v>
      </c>
      <c r="M282" s="177">
        <f t="shared" si="241"/>
        <v>4.146111358</v>
      </c>
      <c r="N282" s="177">
        <f t="shared" si="241"/>
        <v>3.945147862</v>
      </c>
      <c r="O282" s="164">
        <f t="shared" si="241"/>
        <v>22.45915699</v>
      </c>
      <c r="P282" s="164">
        <f t="shared" si="241"/>
        <v>14.61849183</v>
      </c>
      <c r="Q282" s="164">
        <f t="shared" si="241"/>
        <v>10.83567426</v>
      </c>
      <c r="R282" s="164">
        <f t="shared" si="241"/>
        <v>8.608149141</v>
      </c>
      <c r="S282" s="164">
        <f t="shared" si="241"/>
        <v>7.140295218</v>
      </c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60">
        <v>7.0</v>
      </c>
      <c r="C283" s="161" t="s">
        <v>56</v>
      </c>
      <c r="D283" s="178">
        <f t="shared" ref="D283:S283" si="242">$B283/HLOOKUP(D$280,INDIRECT(CONCATENATE("ChestValue", SUBSTITUTE($B$279," ",""))),7,FALSE)</f>
        <v>14.52572194</v>
      </c>
      <c r="E283" s="174">
        <f t="shared" si="242"/>
        <v>14.06219362</v>
      </c>
      <c r="F283" s="174">
        <f t="shared" si="242"/>
        <v>13.26206042</v>
      </c>
      <c r="G283" s="174">
        <f t="shared" si="242"/>
        <v>12.54807969</v>
      </c>
      <c r="H283" s="174">
        <f t="shared" si="242"/>
        <v>11.90704787</v>
      </c>
      <c r="I283" s="174">
        <f t="shared" si="242"/>
        <v>11.32832833</v>
      </c>
      <c r="J283" s="175">
        <f t="shared" si="242"/>
        <v>8.564507734</v>
      </c>
      <c r="K283" s="175">
        <f t="shared" si="242"/>
        <v>8.078748173</v>
      </c>
      <c r="L283" s="175">
        <f t="shared" si="242"/>
        <v>7.645133447</v>
      </c>
      <c r="M283" s="175">
        <f t="shared" si="242"/>
        <v>7.255694876</v>
      </c>
      <c r="N283" s="175">
        <f t="shared" si="242"/>
        <v>6.904008758</v>
      </c>
      <c r="O283" s="159">
        <f t="shared" si="242"/>
        <v>39.30352474</v>
      </c>
      <c r="P283" s="159">
        <f t="shared" si="242"/>
        <v>25.58236071</v>
      </c>
      <c r="Q283" s="159">
        <f t="shared" si="242"/>
        <v>18.96242996</v>
      </c>
      <c r="R283" s="159">
        <f t="shared" si="242"/>
        <v>15.064261</v>
      </c>
      <c r="S283" s="159">
        <f t="shared" si="242"/>
        <v>12.49551663</v>
      </c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65">
        <v>19.0</v>
      </c>
      <c r="C284" s="166" t="s">
        <v>29</v>
      </c>
      <c r="D284" s="179">
        <f t="shared" ref="D284:S284" si="243">$B284/HLOOKUP(D$280,INDIRECT(CONCATENATE("ChestValue", SUBSTITUTE($B$279," ",""))),7,FALSE)</f>
        <v>39.42695955</v>
      </c>
      <c r="E284" s="176">
        <f t="shared" si="243"/>
        <v>38.16881125</v>
      </c>
      <c r="F284" s="176">
        <f t="shared" si="243"/>
        <v>35.99702113</v>
      </c>
      <c r="G284" s="176">
        <f t="shared" si="243"/>
        <v>34.05907344</v>
      </c>
      <c r="H284" s="176">
        <f t="shared" si="243"/>
        <v>32.31912994</v>
      </c>
      <c r="I284" s="176">
        <f t="shared" si="243"/>
        <v>30.74831976</v>
      </c>
      <c r="J284" s="177">
        <f t="shared" si="243"/>
        <v>23.24652099</v>
      </c>
      <c r="K284" s="177">
        <f t="shared" si="243"/>
        <v>21.92803075</v>
      </c>
      <c r="L284" s="177">
        <f t="shared" si="243"/>
        <v>20.7510765</v>
      </c>
      <c r="M284" s="177">
        <f t="shared" si="243"/>
        <v>19.69402895</v>
      </c>
      <c r="N284" s="177">
        <f t="shared" si="243"/>
        <v>18.73945234</v>
      </c>
      <c r="O284" s="164">
        <f t="shared" si="243"/>
        <v>106.6809957</v>
      </c>
      <c r="P284" s="164">
        <f t="shared" si="243"/>
        <v>69.43783621</v>
      </c>
      <c r="Q284" s="164">
        <f t="shared" si="243"/>
        <v>51.46945275</v>
      </c>
      <c r="R284" s="164">
        <f t="shared" si="243"/>
        <v>40.88870842</v>
      </c>
      <c r="S284" s="164">
        <f t="shared" si="243"/>
        <v>33.91640228</v>
      </c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65">
        <v>31.0</v>
      </c>
      <c r="C285" s="166" t="s">
        <v>57</v>
      </c>
      <c r="D285" s="178">
        <f t="shared" ref="D285:S285" si="244">$B285/HLOOKUP(D$280,INDIRECT(CONCATENATE("ChestValue", SUBSTITUTE($B$279," ",""))),7,FALSE)</f>
        <v>64.32819716</v>
      </c>
      <c r="E285" s="174">
        <f t="shared" si="244"/>
        <v>62.27542889</v>
      </c>
      <c r="F285" s="174">
        <f t="shared" si="244"/>
        <v>58.73198184</v>
      </c>
      <c r="G285" s="174">
        <f t="shared" si="244"/>
        <v>55.57006719</v>
      </c>
      <c r="H285" s="174">
        <f t="shared" si="244"/>
        <v>52.73121201</v>
      </c>
      <c r="I285" s="174">
        <f t="shared" si="244"/>
        <v>50.16831119</v>
      </c>
      <c r="J285" s="175">
        <f t="shared" si="244"/>
        <v>37.92853425</v>
      </c>
      <c r="K285" s="175">
        <f t="shared" si="244"/>
        <v>35.77731334</v>
      </c>
      <c r="L285" s="175">
        <f t="shared" si="244"/>
        <v>33.85701955</v>
      </c>
      <c r="M285" s="175">
        <f t="shared" si="244"/>
        <v>32.13236302</v>
      </c>
      <c r="N285" s="175">
        <f t="shared" si="244"/>
        <v>30.57489593</v>
      </c>
      <c r="O285" s="159">
        <f t="shared" si="244"/>
        <v>174.0584667</v>
      </c>
      <c r="P285" s="159">
        <f t="shared" si="244"/>
        <v>113.2933117</v>
      </c>
      <c r="Q285" s="159">
        <f t="shared" si="244"/>
        <v>83.97647554</v>
      </c>
      <c r="R285" s="159">
        <f t="shared" si="244"/>
        <v>66.71315584</v>
      </c>
      <c r="S285" s="159">
        <f t="shared" si="244"/>
        <v>55.33728794</v>
      </c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65">
        <v>43.0</v>
      </c>
      <c r="C286" s="166" t="s">
        <v>58</v>
      </c>
      <c r="D286" s="179">
        <f t="shared" ref="D286:S286" si="245">$B286/HLOOKUP(D$280,INDIRECT(CONCATENATE("ChestValue", SUBSTITUTE($B$279," ",""))),7,FALSE)</f>
        <v>89.22943478</v>
      </c>
      <c r="E286" s="176">
        <f t="shared" si="245"/>
        <v>86.38204652</v>
      </c>
      <c r="F286" s="176">
        <f t="shared" si="245"/>
        <v>81.46694255</v>
      </c>
      <c r="G286" s="176">
        <f t="shared" si="245"/>
        <v>77.08106095</v>
      </c>
      <c r="H286" s="176">
        <f t="shared" si="245"/>
        <v>73.14329407</v>
      </c>
      <c r="I286" s="176">
        <f t="shared" si="245"/>
        <v>69.58830262</v>
      </c>
      <c r="J286" s="177">
        <f t="shared" si="245"/>
        <v>52.61054751</v>
      </c>
      <c r="K286" s="177">
        <f t="shared" si="245"/>
        <v>49.62659592</v>
      </c>
      <c r="L286" s="177">
        <f t="shared" si="245"/>
        <v>46.9629626</v>
      </c>
      <c r="M286" s="177">
        <f t="shared" si="245"/>
        <v>44.5706971</v>
      </c>
      <c r="N286" s="177">
        <f t="shared" si="245"/>
        <v>42.41033952</v>
      </c>
      <c r="O286" s="164">
        <f t="shared" si="245"/>
        <v>241.4359377</v>
      </c>
      <c r="P286" s="164">
        <f t="shared" si="245"/>
        <v>157.1487872</v>
      </c>
      <c r="Q286" s="164">
        <f t="shared" si="245"/>
        <v>116.4834983</v>
      </c>
      <c r="R286" s="164">
        <f t="shared" si="245"/>
        <v>92.53760327</v>
      </c>
      <c r="S286" s="164">
        <f t="shared" si="245"/>
        <v>76.75817359</v>
      </c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67">
        <v>100.0</v>
      </c>
      <c r="C287" s="168" t="s">
        <v>31</v>
      </c>
      <c r="D287" s="178">
        <f t="shared" ref="D287:S287" si="246">$B287/HLOOKUP(D$280,INDIRECT(CONCATENATE("ChestValue", SUBSTITUTE($B$279," ",""))),7,FALSE)</f>
        <v>207.5103134</v>
      </c>
      <c r="E287" s="174">
        <f t="shared" si="246"/>
        <v>200.8884803</v>
      </c>
      <c r="F287" s="174">
        <f t="shared" si="246"/>
        <v>189.4580059</v>
      </c>
      <c r="G287" s="174">
        <f t="shared" si="246"/>
        <v>179.2582813</v>
      </c>
      <c r="H287" s="174">
        <f t="shared" si="246"/>
        <v>170.1006839</v>
      </c>
      <c r="I287" s="174">
        <f t="shared" si="246"/>
        <v>161.8332619</v>
      </c>
      <c r="J287" s="175">
        <f t="shared" si="246"/>
        <v>122.3501105</v>
      </c>
      <c r="K287" s="175">
        <f t="shared" si="246"/>
        <v>115.4106882</v>
      </c>
      <c r="L287" s="175">
        <f t="shared" si="246"/>
        <v>109.2161921</v>
      </c>
      <c r="M287" s="175">
        <f t="shared" si="246"/>
        <v>103.6527839</v>
      </c>
      <c r="N287" s="175">
        <f t="shared" si="246"/>
        <v>98.62869655</v>
      </c>
      <c r="O287" s="159">
        <f t="shared" si="246"/>
        <v>561.4789248</v>
      </c>
      <c r="P287" s="159">
        <f t="shared" si="246"/>
        <v>365.4622958</v>
      </c>
      <c r="Q287" s="159">
        <f t="shared" si="246"/>
        <v>270.8918566</v>
      </c>
      <c r="R287" s="159">
        <f t="shared" si="246"/>
        <v>215.2037285</v>
      </c>
      <c r="S287" s="159">
        <f t="shared" si="246"/>
        <v>178.5073804</v>
      </c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67">
        <v>157.0</v>
      </c>
      <c r="C288" s="168" t="s">
        <v>59</v>
      </c>
      <c r="D288" s="179">
        <f t="shared" ref="D288:S288" si="247">$B288/HLOOKUP(D$280,INDIRECT(CONCATENATE("ChestValue", SUBSTITUTE($B$279," ",""))),7,FALSE)</f>
        <v>325.7911921</v>
      </c>
      <c r="E288" s="176">
        <f t="shared" si="247"/>
        <v>315.394914</v>
      </c>
      <c r="F288" s="176">
        <f t="shared" si="247"/>
        <v>297.4490693</v>
      </c>
      <c r="G288" s="176">
        <f t="shared" si="247"/>
        <v>281.4355016</v>
      </c>
      <c r="H288" s="176">
        <f t="shared" si="247"/>
        <v>267.0580737</v>
      </c>
      <c r="I288" s="176">
        <f t="shared" si="247"/>
        <v>254.0782212</v>
      </c>
      <c r="J288" s="177">
        <f t="shared" si="247"/>
        <v>192.0896735</v>
      </c>
      <c r="K288" s="177">
        <f t="shared" si="247"/>
        <v>181.1947804</v>
      </c>
      <c r="L288" s="177">
        <f t="shared" si="247"/>
        <v>171.4694216</v>
      </c>
      <c r="M288" s="177">
        <f t="shared" si="247"/>
        <v>162.7348708</v>
      </c>
      <c r="N288" s="177">
        <f t="shared" si="247"/>
        <v>154.8470536</v>
      </c>
      <c r="O288" s="164">
        <f t="shared" si="247"/>
        <v>881.521912</v>
      </c>
      <c r="P288" s="164">
        <f t="shared" si="247"/>
        <v>573.7758045</v>
      </c>
      <c r="Q288" s="164">
        <f t="shared" si="247"/>
        <v>425.3002148</v>
      </c>
      <c r="R288" s="164">
        <f t="shared" si="247"/>
        <v>337.8698538</v>
      </c>
      <c r="S288" s="164">
        <f t="shared" si="247"/>
        <v>280.2565873</v>
      </c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67">
        <v>214.0</v>
      </c>
      <c r="C289" s="168" t="s">
        <v>60</v>
      </c>
      <c r="D289" s="178">
        <f t="shared" ref="D289:S289" si="248">$B289/HLOOKUP(D$280,INDIRECT(CONCATENATE("ChestValue", SUBSTITUTE($B$279," ",""))),7,FALSE)</f>
        <v>444.0720707</v>
      </c>
      <c r="E289" s="174">
        <f t="shared" si="248"/>
        <v>429.9013478</v>
      </c>
      <c r="F289" s="174">
        <f t="shared" si="248"/>
        <v>405.4401327</v>
      </c>
      <c r="G289" s="174">
        <f t="shared" si="248"/>
        <v>383.6127219</v>
      </c>
      <c r="H289" s="174">
        <f t="shared" si="248"/>
        <v>364.0154635</v>
      </c>
      <c r="I289" s="174">
        <f t="shared" si="248"/>
        <v>346.3231805</v>
      </c>
      <c r="J289" s="175">
        <f t="shared" si="248"/>
        <v>261.8292364</v>
      </c>
      <c r="K289" s="175">
        <f t="shared" si="248"/>
        <v>246.9788727</v>
      </c>
      <c r="L289" s="175">
        <f t="shared" si="248"/>
        <v>233.7226511</v>
      </c>
      <c r="M289" s="175">
        <f t="shared" si="248"/>
        <v>221.8169577</v>
      </c>
      <c r="N289" s="175">
        <f t="shared" si="248"/>
        <v>211.0654106</v>
      </c>
      <c r="O289" s="159">
        <f t="shared" si="248"/>
        <v>1201.564899</v>
      </c>
      <c r="P289" s="159">
        <f t="shared" si="248"/>
        <v>782.0893131</v>
      </c>
      <c r="Q289" s="159">
        <f t="shared" si="248"/>
        <v>579.7085731</v>
      </c>
      <c r="R289" s="159">
        <f t="shared" si="248"/>
        <v>460.535979</v>
      </c>
      <c r="S289" s="159">
        <f t="shared" si="248"/>
        <v>382.0057941</v>
      </c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67">
        <v>271.0</v>
      </c>
      <c r="C290" s="168" t="s">
        <v>61</v>
      </c>
      <c r="D290" s="179">
        <f t="shared" ref="D290:S290" si="249">$B290/HLOOKUP(D$280,INDIRECT(CONCATENATE("ChestValue", SUBSTITUTE($B$279," ",""))),7,FALSE)</f>
        <v>562.3529494</v>
      </c>
      <c r="E290" s="176">
        <f t="shared" si="249"/>
        <v>544.4077816</v>
      </c>
      <c r="F290" s="176">
        <f t="shared" si="249"/>
        <v>513.4311961</v>
      </c>
      <c r="G290" s="176">
        <f t="shared" si="249"/>
        <v>485.7899423</v>
      </c>
      <c r="H290" s="176">
        <f t="shared" si="249"/>
        <v>460.9728533</v>
      </c>
      <c r="I290" s="176">
        <f t="shared" si="249"/>
        <v>438.5681397</v>
      </c>
      <c r="J290" s="177">
        <f t="shared" si="249"/>
        <v>331.5687994</v>
      </c>
      <c r="K290" s="177">
        <f t="shared" si="249"/>
        <v>312.762965</v>
      </c>
      <c r="L290" s="177">
        <f t="shared" si="249"/>
        <v>295.9758806</v>
      </c>
      <c r="M290" s="177">
        <f t="shared" si="249"/>
        <v>280.8990445</v>
      </c>
      <c r="N290" s="177">
        <f t="shared" si="249"/>
        <v>267.2837676</v>
      </c>
      <c r="O290" s="164">
        <f t="shared" si="249"/>
        <v>1521.607886</v>
      </c>
      <c r="P290" s="164">
        <f t="shared" si="249"/>
        <v>990.4028217</v>
      </c>
      <c r="Q290" s="164">
        <f t="shared" si="249"/>
        <v>734.1169314</v>
      </c>
      <c r="R290" s="164">
        <f t="shared" si="249"/>
        <v>583.2021043</v>
      </c>
      <c r="S290" s="164">
        <f t="shared" si="249"/>
        <v>483.755001</v>
      </c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69">
        <v>571.0</v>
      </c>
      <c r="C291" s="170" t="s">
        <v>32</v>
      </c>
      <c r="D291" s="178">
        <f t="shared" ref="D291:S291" si="250">$B291/HLOOKUP(D$280,INDIRECT(CONCATENATE("ChestValue", SUBSTITUTE($B$279," ",""))),7,FALSE)</f>
        <v>1184.88389</v>
      </c>
      <c r="E291" s="174">
        <f t="shared" si="250"/>
        <v>1147.073222</v>
      </c>
      <c r="F291" s="174">
        <f t="shared" si="250"/>
        <v>1081.805214</v>
      </c>
      <c r="G291" s="174">
        <f t="shared" si="250"/>
        <v>1023.564786</v>
      </c>
      <c r="H291" s="174">
        <f t="shared" si="250"/>
        <v>971.274905</v>
      </c>
      <c r="I291" s="174">
        <f t="shared" si="250"/>
        <v>924.0679254</v>
      </c>
      <c r="J291" s="175">
        <f t="shared" si="250"/>
        <v>698.6191309</v>
      </c>
      <c r="K291" s="175">
        <f t="shared" si="250"/>
        <v>658.9950295</v>
      </c>
      <c r="L291" s="175">
        <f t="shared" si="250"/>
        <v>623.6244569</v>
      </c>
      <c r="M291" s="175">
        <f t="shared" si="250"/>
        <v>591.8573963</v>
      </c>
      <c r="N291" s="175">
        <f t="shared" si="250"/>
        <v>563.1698573</v>
      </c>
      <c r="O291" s="159">
        <f t="shared" si="250"/>
        <v>3206.044661</v>
      </c>
      <c r="P291" s="159">
        <f t="shared" si="250"/>
        <v>2086.789709</v>
      </c>
      <c r="Q291" s="159">
        <f t="shared" si="250"/>
        <v>1546.792501</v>
      </c>
      <c r="R291" s="159">
        <f t="shared" si="250"/>
        <v>1228.81329</v>
      </c>
      <c r="S291" s="159">
        <f t="shared" si="250"/>
        <v>1019.277142</v>
      </c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69">
        <v>871.0</v>
      </c>
      <c r="C292" s="170" t="s">
        <v>62</v>
      </c>
      <c r="D292" s="179">
        <f t="shared" ref="D292:S292" si="251">$B292/HLOOKUP(D$280,INDIRECT(CONCATENATE("ChestValue", SUBSTITUTE($B$279," ",""))),7,FALSE)</f>
        <v>1807.41483</v>
      </c>
      <c r="E292" s="176">
        <f t="shared" si="251"/>
        <v>1749.738663</v>
      </c>
      <c r="F292" s="176">
        <f t="shared" si="251"/>
        <v>1650.179232</v>
      </c>
      <c r="G292" s="176">
        <f t="shared" si="251"/>
        <v>1561.33963</v>
      </c>
      <c r="H292" s="176">
        <f t="shared" si="251"/>
        <v>1481.576957</v>
      </c>
      <c r="I292" s="176">
        <f t="shared" si="251"/>
        <v>1409.567711</v>
      </c>
      <c r="J292" s="177">
        <f t="shared" si="251"/>
        <v>1065.669462</v>
      </c>
      <c r="K292" s="177">
        <f t="shared" si="251"/>
        <v>1005.227094</v>
      </c>
      <c r="L292" s="177">
        <f t="shared" si="251"/>
        <v>951.2730332</v>
      </c>
      <c r="M292" s="177">
        <f t="shared" si="251"/>
        <v>902.8157482</v>
      </c>
      <c r="N292" s="177">
        <f t="shared" si="251"/>
        <v>859.0559469</v>
      </c>
      <c r="O292" s="164">
        <f t="shared" si="251"/>
        <v>4890.481435</v>
      </c>
      <c r="P292" s="164">
        <f t="shared" si="251"/>
        <v>3183.176597</v>
      </c>
      <c r="Q292" s="164">
        <f t="shared" si="251"/>
        <v>2359.468071</v>
      </c>
      <c r="R292" s="164">
        <f t="shared" si="251"/>
        <v>1874.424475</v>
      </c>
      <c r="S292" s="164">
        <f t="shared" si="251"/>
        <v>1554.799284</v>
      </c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69">
        <v>1171.0</v>
      </c>
      <c r="C293" s="170" t="s">
        <v>63</v>
      </c>
      <c r="D293" s="178">
        <f t="shared" ref="D293:S293" si="252">$B293/HLOOKUP(D$280,INDIRECT(CONCATENATE("ChestValue", SUBSTITUTE($B$279," ",""))),7,FALSE)</f>
        <v>2429.94577</v>
      </c>
      <c r="E293" s="174">
        <f t="shared" si="252"/>
        <v>2352.404104</v>
      </c>
      <c r="F293" s="174">
        <f t="shared" si="252"/>
        <v>2218.553249</v>
      </c>
      <c r="G293" s="174">
        <f t="shared" si="252"/>
        <v>2099.114474</v>
      </c>
      <c r="H293" s="174">
        <f t="shared" si="252"/>
        <v>1991.879008</v>
      </c>
      <c r="I293" s="174">
        <f t="shared" si="252"/>
        <v>1895.067497</v>
      </c>
      <c r="J293" s="175">
        <f t="shared" si="252"/>
        <v>1432.719794</v>
      </c>
      <c r="K293" s="175">
        <f t="shared" si="252"/>
        <v>1351.459159</v>
      </c>
      <c r="L293" s="175">
        <f t="shared" si="252"/>
        <v>1278.92161</v>
      </c>
      <c r="M293" s="175">
        <f t="shared" si="252"/>
        <v>1213.7741</v>
      </c>
      <c r="N293" s="175">
        <f t="shared" si="252"/>
        <v>1154.942037</v>
      </c>
      <c r="O293" s="159">
        <f t="shared" si="252"/>
        <v>6574.91821</v>
      </c>
      <c r="P293" s="159">
        <f t="shared" si="252"/>
        <v>4279.563484</v>
      </c>
      <c r="Q293" s="159">
        <f t="shared" si="252"/>
        <v>3172.143641</v>
      </c>
      <c r="R293" s="159">
        <f t="shared" si="252"/>
        <v>2520.035661</v>
      </c>
      <c r="S293" s="159">
        <f t="shared" si="252"/>
        <v>2090.321425</v>
      </c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69">
        <v>1471.0</v>
      </c>
      <c r="C294" s="170" t="s">
        <v>64</v>
      </c>
      <c r="D294" s="179">
        <f t="shared" ref="D294:S294" si="253">$B294/HLOOKUP(D$280,INDIRECT(CONCATENATE("ChestValue", SUBSTITUTE($B$279," ",""))),7,FALSE)</f>
        <v>3052.476711</v>
      </c>
      <c r="E294" s="176">
        <f t="shared" si="253"/>
        <v>2955.069545</v>
      </c>
      <c r="F294" s="176">
        <f t="shared" si="253"/>
        <v>2786.927267</v>
      </c>
      <c r="G294" s="176">
        <f t="shared" si="253"/>
        <v>2636.889318</v>
      </c>
      <c r="H294" s="176">
        <f t="shared" si="253"/>
        <v>2502.18106</v>
      </c>
      <c r="I294" s="176">
        <f t="shared" si="253"/>
        <v>2380.567283</v>
      </c>
      <c r="J294" s="177">
        <f t="shared" si="253"/>
        <v>1799.770125</v>
      </c>
      <c r="K294" s="177">
        <f t="shared" si="253"/>
        <v>1697.691223</v>
      </c>
      <c r="L294" s="177">
        <f t="shared" si="253"/>
        <v>1606.570186</v>
      </c>
      <c r="M294" s="177">
        <f t="shared" si="253"/>
        <v>1524.732452</v>
      </c>
      <c r="N294" s="177">
        <f t="shared" si="253"/>
        <v>1450.828126</v>
      </c>
      <c r="O294" s="164">
        <f t="shared" si="253"/>
        <v>8259.354984</v>
      </c>
      <c r="P294" s="164">
        <f t="shared" si="253"/>
        <v>5375.950372</v>
      </c>
      <c r="Q294" s="164">
        <f t="shared" si="253"/>
        <v>3984.81921</v>
      </c>
      <c r="R294" s="164">
        <f t="shared" si="253"/>
        <v>3165.646847</v>
      </c>
      <c r="S294" s="164">
        <f t="shared" si="253"/>
        <v>2625.843566</v>
      </c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69">
        <v>1771.0</v>
      </c>
      <c r="C295" s="170" t="s">
        <v>65</v>
      </c>
      <c r="D295" s="178">
        <f t="shared" ref="D295:S295" si="254">$B295/HLOOKUP(D$280,INDIRECT(CONCATENATE("ChestValue", SUBSTITUTE($B$279," ",""))),7,FALSE)</f>
        <v>3675.007651</v>
      </c>
      <c r="E295" s="174">
        <f t="shared" si="254"/>
        <v>3557.734986</v>
      </c>
      <c r="F295" s="174">
        <f t="shared" si="254"/>
        <v>3355.301285</v>
      </c>
      <c r="G295" s="174">
        <f t="shared" si="254"/>
        <v>3174.664161</v>
      </c>
      <c r="H295" s="174">
        <f t="shared" si="254"/>
        <v>3012.483112</v>
      </c>
      <c r="I295" s="174">
        <f t="shared" si="254"/>
        <v>2866.067068</v>
      </c>
      <c r="J295" s="175">
        <f t="shared" si="254"/>
        <v>2166.820457</v>
      </c>
      <c r="K295" s="175">
        <f t="shared" si="254"/>
        <v>2043.923288</v>
      </c>
      <c r="L295" s="175">
        <f t="shared" si="254"/>
        <v>1934.218762</v>
      </c>
      <c r="M295" s="175">
        <f t="shared" si="254"/>
        <v>1835.690804</v>
      </c>
      <c r="N295" s="175">
        <f t="shared" si="254"/>
        <v>1746.714216</v>
      </c>
      <c r="O295" s="159">
        <f t="shared" si="254"/>
        <v>9943.791759</v>
      </c>
      <c r="P295" s="159">
        <f t="shared" si="254"/>
        <v>6472.337259</v>
      </c>
      <c r="Q295" s="159">
        <f t="shared" si="254"/>
        <v>4797.49478</v>
      </c>
      <c r="R295" s="159">
        <f t="shared" si="254"/>
        <v>3811.258032</v>
      </c>
      <c r="S295" s="159">
        <f t="shared" si="254"/>
        <v>3161.365708</v>
      </c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71">
        <v>3484.0</v>
      </c>
      <c r="C296" s="172" t="s">
        <v>33</v>
      </c>
      <c r="D296" s="179">
        <f t="shared" ref="D296:S296" si="255">$B296/HLOOKUP(D$280,INDIRECT(CONCATENATE("ChestValue", SUBSTITUTE($B$279," ",""))),7,FALSE)</f>
        <v>7229.65932</v>
      </c>
      <c r="E296" s="176">
        <f t="shared" si="255"/>
        <v>6998.954653</v>
      </c>
      <c r="F296" s="176">
        <f t="shared" si="255"/>
        <v>6600.716927</v>
      </c>
      <c r="G296" s="176">
        <f t="shared" si="255"/>
        <v>6245.35852</v>
      </c>
      <c r="H296" s="176">
        <f t="shared" si="255"/>
        <v>5926.307827</v>
      </c>
      <c r="I296" s="176">
        <f t="shared" si="255"/>
        <v>5638.270845</v>
      </c>
      <c r="J296" s="177">
        <f t="shared" si="255"/>
        <v>4262.677849</v>
      </c>
      <c r="K296" s="177">
        <f t="shared" si="255"/>
        <v>4020.908376</v>
      </c>
      <c r="L296" s="177">
        <f t="shared" si="255"/>
        <v>3805.092133</v>
      </c>
      <c r="M296" s="177">
        <f t="shared" si="255"/>
        <v>3611.262993</v>
      </c>
      <c r="N296" s="177">
        <f t="shared" si="255"/>
        <v>3436.223788</v>
      </c>
      <c r="O296" s="164">
        <f t="shared" si="255"/>
        <v>19561.92574</v>
      </c>
      <c r="P296" s="164">
        <f t="shared" si="255"/>
        <v>12732.70639</v>
      </c>
      <c r="Q296" s="164">
        <f t="shared" si="255"/>
        <v>9437.872284</v>
      </c>
      <c r="R296" s="164">
        <f t="shared" si="255"/>
        <v>7497.697902</v>
      </c>
      <c r="S296" s="164">
        <f t="shared" si="255"/>
        <v>6219.197135</v>
      </c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71">
        <v>5197.0</v>
      </c>
      <c r="C297" s="172" t="s">
        <v>66</v>
      </c>
      <c r="D297" s="178">
        <f t="shared" ref="D297:S297" si="256">$B297/HLOOKUP(D$280,INDIRECT(CONCATENATE("ChestValue", SUBSTITUTE($B$279," ",""))),7,FALSE)</f>
        <v>10784.31099</v>
      </c>
      <c r="E297" s="174">
        <f t="shared" si="256"/>
        <v>10440.17432</v>
      </c>
      <c r="F297" s="174">
        <f t="shared" si="256"/>
        <v>9846.132568</v>
      </c>
      <c r="G297" s="174">
        <f t="shared" si="256"/>
        <v>9316.052878</v>
      </c>
      <c r="H297" s="174">
        <f t="shared" si="256"/>
        <v>8840.132542</v>
      </c>
      <c r="I297" s="174">
        <f t="shared" si="256"/>
        <v>8410.474621</v>
      </c>
      <c r="J297" s="175">
        <f t="shared" si="256"/>
        <v>6358.535242</v>
      </c>
      <c r="K297" s="175">
        <f t="shared" si="256"/>
        <v>5997.893465</v>
      </c>
      <c r="L297" s="175">
        <f t="shared" si="256"/>
        <v>5675.965504</v>
      </c>
      <c r="M297" s="175">
        <f t="shared" si="256"/>
        <v>5386.835182</v>
      </c>
      <c r="N297" s="175">
        <f t="shared" si="256"/>
        <v>5125.73336</v>
      </c>
      <c r="O297" s="159">
        <f t="shared" si="256"/>
        <v>29180.05972</v>
      </c>
      <c r="P297" s="159">
        <f t="shared" si="256"/>
        <v>18993.07551</v>
      </c>
      <c r="Q297" s="159">
        <f t="shared" si="256"/>
        <v>14078.24979</v>
      </c>
      <c r="R297" s="159">
        <f t="shared" si="256"/>
        <v>11184.13777</v>
      </c>
      <c r="S297" s="159">
        <f t="shared" si="256"/>
        <v>9277.028561</v>
      </c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71">
        <v>6910.0</v>
      </c>
      <c r="C298" s="172" t="s">
        <v>67</v>
      </c>
      <c r="D298" s="179">
        <f t="shared" ref="D298:S298" si="257">$B298/HLOOKUP(D$280,INDIRECT(CONCATENATE("ChestValue", SUBSTITUTE($B$279," ",""))),7,FALSE)</f>
        <v>14338.96266</v>
      </c>
      <c r="E298" s="176">
        <f t="shared" si="257"/>
        <v>13881.39399</v>
      </c>
      <c r="F298" s="176">
        <f t="shared" si="257"/>
        <v>13091.54821</v>
      </c>
      <c r="G298" s="176">
        <f t="shared" si="257"/>
        <v>12386.74724</v>
      </c>
      <c r="H298" s="176">
        <f t="shared" si="257"/>
        <v>11753.95726</v>
      </c>
      <c r="I298" s="176">
        <f t="shared" si="257"/>
        <v>11182.6784</v>
      </c>
      <c r="J298" s="177">
        <f t="shared" si="257"/>
        <v>8454.392635</v>
      </c>
      <c r="K298" s="177">
        <f t="shared" si="257"/>
        <v>7974.878553</v>
      </c>
      <c r="L298" s="177">
        <f t="shared" si="257"/>
        <v>7546.838874</v>
      </c>
      <c r="M298" s="177">
        <f t="shared" si="257"/>
        <v>7162.407371</v>
      </c>
      <c r="N298" s="177">
        <f t="shared" si="257"/>
        <v>6815.242931</v>
      </c>
      <c r="O298" s="164">
        <f t="shared" si="257"/>
        <v>38798.19371</v>
      </c>
      <c r="P298" s="164">
        <f t="shared" si="257"/>
        <v>25253.44464</v>
      </c>
      <c r="Q298" s="164">
        <f t="shared" si="257"/>
        <v>18718.62729</v>
      </c>
      <c r="R298" s="164">
        <f t="shared" si="257"/>
        <v>14870.57764</v>
      </c>
      <c r="S298" s="164">
        <f t="shared" si="257"/>
        <v>12334.85999</v>
      </c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71">
        <v>8623.0</v>
      </c>
      <c r="C299" s="172" t="s">
        <v>68</v>
      </c>
      <c r="D299" s="178">
        <f t="shared" ref="D299:S299" si="258">$B299/HLOOKUP(D$280,INDIRECT(CONCATENATE("ChestValue", SUBSTITUTE($B$279," ",""))),7,FALSE)</f>
        <v>17893.61433</v>
      </c>
      <c r="E299" s="174">
        <f t="shared" si="258"/>
        <v>17322.61365</v>
      </c>
      <c r="F299" s="174">
        <f t="shared" si="258"/>
        <v>16336.96385</v>
      </c>
      <c r="G299" s="174">
        <f t="shared" si="258"/>
        <v>15457.44159</v>
      </c>
      <c r="H299" s="174">
        <f t="shared" si="258"/>
        <v>14667.78197</v>
      </c>
      <c r="I299" s="174">
        <f t="shared" si="258"/>
        <v>13954.88217</v>
      </c>
      <c r="J299" s="175">
        <f t="shared" si="258"/>
        <v>10550.25003</v>
      </c>
      <c r="K299" s="175">
        <f t="shared" si="258"/>
        <v>9951.863642</v>
      </c>
      <c r="L299" s="175">
        <f t="shared" si="258"/>
        <v>9417.712245</v>
      </c>
      <c r="M299" s="175">
        <f t="shared" si="258"/>
        <v>8937.97956</v>
      </c>
      <c r="N299" s="175">
        <f t="shared" si="258"/>
        <v>8504.752503</v>
      </c>
      <c r="O299" s="159">
        <f t="shared" si="258"/>
        <v>48416.32769</v>
      </c>
      <c r="P299" s="159">
        <f t="shared" si="258"/>
        <v>31513.81377</v>
      </c>
      <c r="Q299" s="159">
        <f t="shared" si="258"/>
        <v>23359.00479</v>
      </c>
      <c r="R299" s="159">
        <f t="shared" si="258"/>
        <v>18557.01751</v>
      </c>
      <c r="S299" s="159">
        <f t="shared" si="258"/>
        <v>15392.69142</v>
      </c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71">
        <v>10336.0</v>
      </c>
      <c r="C300" s="172" t="s">
        <v>69</v>
      </c>
      <c r="D300" s="179">
        <f t="shared" ref="D300:S300" si="259">$B300/HLOOKUP(D$280,INDIRECT(CONCATENATE("ChestValue", SUBSTITUTE($B$279," ",""))),7,FALSE)</f>
        <v>21448.266</v>
      </c>
      <c r="E300" s="176">
        <f t="shared" si="259"/>
        <v>20763.83332</v>
      </c>
      <c r="F300" s="176">
        <f t="shared" si="259"/>
        <v>19582.37949</v>
      </c>
      <c r="G300" s="176">
        <f t="shared" si="259"/>
        <v>18528.13595</v>
      </c>
      <c r="H300" s="176">
        <f t="shared" si="259"/>
        <v>17581.60669</v>
      </c>
      <c r="I300" s="176">
        <f t="shared" si="259"/>
        <v>16727.08595</v>
      </c>
      <c r="J300" s="177">
        <f t="shared" si="259"/>
        <v>12646.10742</v>
      </c>
      <c r="K300" s="177">
        <f t="shared" si="259"/>
        <v>11928.84873</v>
      </c>
      <c r="L300" s="177">
        <f t="shared" si="259"/>
        <v>11288.58562</v>
      </c>
      <c r="M300" s="177">
        <f t="shared" si="259"/>
        <v>10713.55175</v>
      </c>
      <c r="N300" s="177">
        <f t="shared" si="259"/>
        <v>10194.26208</v>
      </c>
      <c r="O300" s="164">
        <f t="shared" si="259"/>
        <v>58034.46167</v>
      </c>
      <c r="P300" s="164">
        <f t="shared" si="259"/>
        <v>37774.1829</v>
      </c>
      <c r="Q300" s="164">
        <f t="shared" si="259"/>
        <v>27999.3823</v>
      </c>
      <c r="R300" s="164">
        <f t="shared" si="259"/>
        <v>22243.45738</v>
      </c>
      <c r="S300" s="164">
        <f t="shared" si="259"/>
        <v>18450.52284</v>
      </c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71">
        <v>12049.0</v>
      </c>
      <c r="C301" s="172" t="s">
        <v>70</v>
      </c>
      <c r="D301" s="178">
        <f t="shared" ref="D301:S301" si="260">$B301/HLOOKUP(D$280,INDIRECT(CONCATENATE("ChestValue", SUBSTITUTE($B$279," ",""))),7,FALSE)</f>
        <v>25002.91767</v>
      </c>
      <c r="E301" s="174">
        <f t="shared" si="260"/>
        <v>24205.05299</v>
      </c>
      <c r="F301" s="174">
        <f t="shared" si="260"/>
        <v>22827.79513</v>
      </c>
      <c r="G301" s="174">
        <f t="shared" si="260"/>
        <v>21598.83031</v>
      </c>
      <c r="H301" s="174">
        <f t="shared" si="260"/>
        <v>20495.4314</v>
      </c>
      <c r="I301" s="174">
        <f t="shared" si="260"/>
        <v>19499.28973</v>
      </c>
      <c r="J301" s="175">
        <f t="shared" si="260"/>
        <v>14741.96481</v>
      </c>
      <c r="K301" s="175">
        <f t="shared" si="260"/>
        <v>13905.83382</v>
      </c>
      <c r="L301" s="175">
        <f t="shared" si="260"/>
        <v>13159.45899</v>
      </c>
      <c r="M301" s="175">
        <f t="shared" si="260"/>
        <v>12489.12394</v>
      </c>
      <c r="N301" s="175">
        <f t="shared" si="260"/>
        <v>11883.77165</v>
      </c>
      <c r="O301" s="159">
        <f t="shared" si="260"/>
        <v>67652.59565</v>
      </c>
      <c r="P301" s="159">
        <f t="shared" si="260"/>
        <v>44034.55203</v>
      </c>
      <c r="Q301" s="159">
        <f t="shared" si="260"/>
        <v>32639.7598</v>
      </c>
      <c r="R301" s="159">
        <f t="shared" si="260"/>
        <v>25929.89725</v>
      </c>
      <c r="S301" s="159">
        <f t="shared" si="260"/>
        <v>21508.35427</v>
      </c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10" t="s">
        <v>52</v>
      </c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10" t="s">
        <v>51</v>
      </c>
      <c r="D304" s="173"/>
      <c r="E304" s="150" t="s">
        <v>53</v>
      </c>
      <c r="J304" s="151" t="s">
        <v>54</v>
      </c>
      <c r="O304" s="152" t="s">
        <v>55</v>
      </c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D305" s="149">
        <v>5.0</v>
      </c>
      <c r="E305" s="39">
        <v>6.0</v>
      </c>
      <c r="F305" s="39">
        <v>7.0</v>
      </c>
      <c r="G305" s="39">
        <v>8.0</v>
      </c>
      <c r="H305" s="39">
        <v>9.0</v>
      </c>
      <c r="I305" s="39">
        <v>10.0</v>
      </c>
      <c r="J305" s="40">
        <v>11.0</v>
      </c>
      <c r="K305" s="40">
        <v>12.0</v>
      </c>
      <c r="L305" s="40">
        <v>13.0</v>
      </c>
      <c r="M305" s="40">
        <v>14.0</v>
      </c>
      <c r="N305" s="40">
        <v>15.0</v>
      </c>
      <c r="O305" s="153">
        <v>16.0</v>
      </c>
      <c r="P305" s="153">
        <v>17.0</v>
      </c>
      <c r="Q305" s="153">
        <v>18.0</v>
      </c>
      <c r="R305" s="153">
        <v>19.0</v>
      </c>
      <c r="S305" s="153">
        <v>20.0</v>
      </c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54">
        <v>1.0</v>
      </c>
      <c r="C306" s="155" t="s">
        <v>27</v>
      </c>
      <c r="D306" s="178">
        <f t="shared" ref="D306:S306" si="261">$B306/HLOOKUP(D$305,INDIRECT(CONCATENATE("ChestValue", SUBSTITUTE($B$304," ",""))),7,FALSE)</f>
        <v>1.577535859</v>
      </c>
      <c r="E306" s="174">
        <f t="shared" si="261"/>
        <v>1.431948335</v>
      </c>
      <c r="F306" s="174">
        <f t="shared" si="261"/>
        <v>1.307277055</v>
      </c>
      <c r="G306" s="174">
        <f t="shared" si="261"/>
        <v>1.204132809</v>
      </c>
      <c r="H306" s="174">
        <f t="shared" si="261"/>
        <v>1.11607446</v>
      </c>
      <c r="I306" s="174">
        <f t="shared" si="261"/>
        <v>1.040017854</v>
      </c>
      <c r="J306" s="175">
        <f t="shared" si="261"/>
        <v>0.9443309397</v>
      </c>
      <c r="K306" s="175">
        <f t="shared" si="261"/>
        <v>0.8647679085</v>
      </c>
      <c r="L306" s="175">
        <f t="shared" si="261"/>
        <v>0.7975699778</v>
      </c>
      <c r="M306" s="175">
        <f t="shared" si="261"/>
        <v>0.7400624492</v>
      </c>
      <c r="N306" s="175">
        <f t="shared" si="261"/>
        <v>0.690290163</v>
      </c>
      <c r="O306" s="159">
        <f t="shared" si="261"/>
        <v>5.615128229</v>
      </c>
      <c r="P306" s="159">
        <f t="shared" si="261"/>
        <v>3.65491019</v>
      </c>
      <c r="Q306" s="159">
        <f t="shared" si="261"/>
        <v>2.709155285</v>
      </c>
      <c r="R306" s="159">
        <f t="shared" si="261"/>
        <v>2.152236482</v>
      </c>
      <c r="S306" s="159">
        <f t="shared" si="261"/>
        <v>1.785245124</v>
      </c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60">
        <v>4.0</v>
      </c>
      <c r="C307" s="161" t="s">
        <v>28</v>
      </c>
      <c r="D307" s="179">
        <f t="shared" ref="D307:S307" si="262">$B307/HLOOKUP(D$305,INDIRECT(CONCATENATE("ChestValue", SUBSTITUTE($B$304," ",""))),7,FALSE)</f>
        <v>6.310143436</v>
      </c>
      <c r="E307" s="176">
        <f t="shared" si="262"/>
        <v>5.727793339</v>
      </c>
      <c r="F307" s="176">
        <f t="shared" si="262"/>
        <v>5.229108219</v>
      </c>
      <c r="G307" s="176">
        <f t="shared" si="262"/>
        <v>4.816531235</v>
      </c>
      <c r="H307" s="176">
        <f t="shared" si="262"/>
        <v>4.464297841</v>
      </c>
      <c r="I307" s="176">
        <f t="shared" si="262"/>
        <v>4.160071417</v>
      </c>
      <c r="J307" s="177">
        <f t="shared" si="262"/>
        <v>3.777323759</v>
      </c>
      <c r="K307" s="177">
        <f t="shared" si="262"/>
        <v>3.459071634</v>
      </c>
      <c r="L307" s="177">
        <f t="shared" si="262"/>
        <v>3.190279911</v>
      </c>
      <c r="M307" s="177">
        <f t="shared" si="262"/>
        <v>2.960249797</v>
      </c>
      <c r="N307" s="177">
        <f t="shared" si="262"/>
        <v>2.761160652</v>
      </c>
      <c r="O307" s="164">
        <f t="shared" si="262"/>
        <v>22.46051292</v>
      </c>
      <c r="P307" s="164">
        <f t="shared" si="262"/>
        <v>14.61964076</v>
      </c>
      <c r="Q307" s="164">
        <f t="shared" si="262"/>
        <v>10.83662114</v>
      </c>
      <c r="R307" s="164">
        <f t="shared" si="262"/>
        <v>8.608945927</v>
      </c>
      <c r="S307" s="164">
        <f t="shared" si="262"/>
        <v>7.140980495</v>
      </c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60">
        <v>7.0</v>
      </c>
      <c r="C308" s="161" t="s">
        <v>56</v>
      </c>
      <c r="D308" s="178">
        <f t="shared" ref="D308:S308" si="263">$B308/HLOOKUP(D$305,INDIRECT(CONCATENATE("ChestValue", SUBSTITUTE($B$304," ",""))),7,FALSE)</f>
        <v>11.04275101</v>
      </c>
      <c r="E308" s="174">
        <f t="shared" si="263"/>
        <v>10.02363834</v>
      </c>
      <c r="F308" s="174">
        <f t="shared" si="263"/>
        <v>9.150939383</v>
      </c>
      <c r="G308" s="174">
        <f t="shared" si="263"/>
        <v>8.428929662</v>
      </c>
      <c r="H308" s="174">
        <f t="shared" si="263"/>
        <v>7.812521222</v>
      </c>
      <c r="I308" s="174">
        <f t="shared" si="263"/>
        <v>7.28012498</v>
      </c>
      <c r="J308" s="175">
        <f t="shared" si="263"/>
        <v>6.610316578</v>
      </c>
      <c r="K308" s="175">
        <f t="shared" si="263"/>
        <v>6.053375359</v>
      </c>
      <c r="L308" s="175">
        <f t="shared" si="263"/>
        <v>5.582989844</v>
      </c>
      <c r="M308" s="175">
        <f t="shared" si="263"/>
        <v>5.180437145</v>
      </c>
      <c r="N308" s="175">
        <f t="shared" si="263"/>
        <v>4.832031141</v>
      </c>
      <c r="O308" s="159">
        <f t="shared" si="263"/>
        <v>39.30589761</v>
      </c>
      <c r="P308" s="159">
        <f t="shared" si="263"/>
        <v>25.58437133</v>
      </c>
      <c r="Q308" s="159">
        <f t="shared" si="263"/>
        <v>18.964087</v>
      </c>
      <c r="R308" s="159">
        <f t="shared" si="263"/>
        <v>15.06565537</v>
      </c>
      <c r="S308" s="159">
        <f t="shared" si="263"/>
        <v>12.49671587</v>
      </c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65">
        <v>19.0</v>
      </c>
      <c r="C309" s="166" t="s">
        <v>29</v>
      </c>
      <c r="D309" s="179">
        <f t="shared" ref="D309:S309" si="264">$B309/HLOOKUP(D$305,INDIRECT(CONCATENATE("ChestValue", SUBSTITUTE($B$304," ",""))),7,FALSE)</f>
        <v>29.97318132</v>
      </c>
      <c r="E309" s="176">
        <f t="shared" si="264"/>
        <v>27.20701836</v>
      </c>
      <c r="F309" s="176">
        <f t="shared" si="264"/>
        <v>24.83826404</v>
      </c>
      <c r="G309" s="176">
        <f t="shared" si="264"/>
        <v>22.87852337</v>
      </c>
      <c r="H309" s="176">
        <f t="shared" si="264"/>
        <v>21.20541475</v>
      </c>
      <c r="I309" s="176">
        <f t="shared" si="264"/>
        <v>19.76033923</v>
      </c>
      <c r="J309" s="177">
        <f t="shared" si="264"/>
        <v>17.94228785</v>
      </c>
      <c r="K309" s="177">
        <f t="shared" si="264"/>
        <v>16.43059026</v>
      </c>
      <c r="L309" s="177">
        <f t="shared" si="264"/>
        <v>15.15382958</v>
      </c>
      <c r="M309" s="177">
        <f t="shared" si="264"/>
        <v>14.06118654</v>
      </c>
      <c r="N309" s="177">
        <f t="shared" si="264"/>
        <v>13.1155131</v>
      </c>
      <c r="O309" s="164">
        <f t="shared" si="264"/>
        <v>106.6874364</v>
      </c>
      <c r="P309" s="164">
        <f t="shared" si="264"/>
        <v>69.4432936</v>
      </c>
      <c r="Q309" s="164">
        <f t="shared" si="264"/>
        <v>51.47395042</v>
      </c>
      <c r="R309" s="164">
        <f t="shared" si="264"/>
        <v>40.89249316</v>
      </c>
      <c r="S309" s="164">
        <f t="shared" si="264"/>
        <v>33.91965735</v>
      </c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65">
        <v>31.0</v>
      </c>
      <c r="C310" s="166" t="s">
        <v>57</v>
      </c>
      <c r="D310" s="178">
        <f t="shared" ref="D310:S310" si="265">$B310/HLOOKUP(D$305,INDIRECT(CONCATENATE("ChestValue", SUBSTITUTE($B$304," ",""))),7,FALSE)</f>
        <v>48.90361163</v>
      </c>
      <c r="E310" s="174">
        <f t="shared" si="265"/>
        <v>44.39039838</v>
      </c>
      <c r="F310" s="174">
        <f t="shared" si="265"/>
        <v>40.5255887</v>
      </c>
      <c r="G310" s="174">
        <f t="shared" si="265"/>
        <v>37.32811707</v>
      </c>
      <c r="H310" s="174">
        <f t="shared" si="265"/>
        <v>34.59830827</v>
      </c>
      <c r="I310" s="174">
        <f t="shared" si="265"/>
        <v>32.24055348</v>
      </c>
      <c r="J310" s="175">
        <f t="shared" si="265"/>
        <v>29.27425913</v>
      </c>
      <c r="K310" s="175">
        <f t="shared" si="265"/>
        <v>26.80780516</v>
      </c>
      <c r="L310" s="175">
        <f t="shared" si="265"/>
        <v>24.72466931</v>
      </c>
      <c r="M310" s="175">
        <f t="shared" si="265"/>
        <v>22.94193593</v>
      </c>
      <c r="N310" s="175">
        <f t="shared" si="265"/>
        <v>21.39899505</v>
      </c>
      <c r="O310" s="159">
        <f t="shared" si="265"/>
        <v>174.0689751</v>
      </c>
      <c r="P310" s="159">
        <f t="shared" si="265"/>
        <v>113.3022159</v>
      </c>
      <c r="Q310" s="159">
        <f t="shared" si="265"/>
        <v>83.98381384</v>
      </c>
      <c r="R310" s="159">
        <f t="shared" si="265"/>
        <v>66.71933094</v>
      </c>
      <c r="S310" s="159">
        <f t="shared" si="265"/>
        <v>55.34259883</v>
      </c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65">
        <v>43.0</v>
      </c>
      <c r="C311" s="166" t="s">
        <v>58</v>
      </c>
      <c r="D311" s="179">
        <f t="shared" ref="D311:S311" si="266">$B311/HLOOKUP(D$305,INDIRECT(CONCATENATE("ChestValue", SUBSTITUTE($B$304," ",""))),7,FALSE)</f>
        <v>67.83404193</v>
      </c>
      <c r="E311" s="176">
        <f t="shared" si="266"/>
        <v>61.5737784</v>
      </c>
      <c r="F311" s="176">
        <f t="shared" si="266"/>
        <v>56.21291335</v>
      </c>
      <c r="G311" s="176">
        <f t="shared" si="266"/>
        <v>51.77771078</v>
      </c>
      <c r="H311" s="176">
        <f t="shared" si="266"/>
        <v>47.99120179</v>
      </c>
      <c r="I311" s="176">
        <f t="shared" si="266"/>
        <v>44.72076773</v>
      </c>
      <c r="J311" s="177">
        <f t="shared" si="266"/>
        <v>40.6062304</v>
      </c>
      <c r="K311" s="177">
        <f t="shared" si="266"/>
        <v>37.18502006</v>
      </c>
      <c r="L311" s="177">
        <f t="shared" si="266"/>
        <v>34.29550904</v>
      </c>
      <c r="M311" s="177">
        <f t="shared" si="266"/>
        <v>31.82268532</v>
      </c>
      <c r="N311" s="177">
        <f t="shared" si="266"/>
        <v>29.68247701</v>
      </c>
      <c r="O311" s="164">
        <f t="shared" si="266"/>
        <v>241.4505139</v>
      </c>
      <c r="P311" s="164">
        <f t="shared" si="266"/>
        <v>157.1611381</v>
      </c>
      <c r="Q311" s="164">
        <f t="shared" si="266"/>
        <v>116.4936773</v>
      </c>
      <c r="R311" s="164">
        <f t="shared" si="266"/>
        <v>92.54616872</v>
      </c>
      <c r="S311" s="164">
        <f t="shared" si="266"/>
        <v>76.76554032</v>
      </c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67">
        <v>100.0</v>
      </c>
      <c r="C312" s="168" t="s">
        <v>31</v>
      </c>
      <c r="D312" s="178">
        <f t="shared" ref="D312:S312" si="267">$B312/HLOOKUP(D$305,INDIRECT(CONCATENATE("ChestValue", SUBSTITUTE($B$304," ",""))),7,FALSE)</f>
        <v>157.7535859</v>
      </c>
      <c r="E312" s="174">
        <f t="shared" si="267"/>
        <v>143.1948335</v>
      </c>
      <c r="F312" s="174">
        <f t="shared" si="267"/>
        <v>130.7277055</v>
      </c>
      <c r="G312" s="174">
        <f t="shared" si="267"/>
        <v>120.4132809</v>
      </c>
      <c r="H312" s="174">
        <f t="shared" si="267"/>
        <v>111.607446</v>
      </c>
      <c r="I312" s="174">
        <f t="shared" si="267"/>
        <v>104.0017854</v>
      </c>
      <c r="J312" s="175">
        <f t="shared" si="267"/>
        <v>94.43309397</v>
      </c>
      <c r="K312" s="175">
        <f t="shared" si="267"/>
        <v>86.47679085</v>
      </c>
      <c r="L312" s="175">
        <f t="shared" si="267"/>
        <v>79.75699778</v>
      </c>
      <c r="M312" s="175">
        <f t="shared" si="267"/>
        <v>74.00624492</v>
      </c>
      <c r="N312" s="175">
        <f t="shared" si="267"/>
        <v>69.0290163</v>
      </c>
      <c r="O312" s="159">
        <f t="shared" si="267"/>
        <v>561.5128229</v>
      </c>
      <c r="P312" s="159">
        <f t="shared" si="267"/>
        <v>365.491019</v>
      </c>
      <c r="Q312" s="159">
        <f t="shared" si="267"/>
        <v>270.9155285</v>
      </c>
      <c r="R312" s="159">
        <f t="shared" si="267"/>
        <v>215.2236482</v>
      </c>
      <c r="S312" s="159">
        <f t="shared" si="267"/>
        <v>178.5245124</v>
      </c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67">
        <v>157.0</v>
      </c>
      <c r="C313" s="168" t="s">
        <v>59</v>
      </c>
      <c r="D313" s="179">
        <f t="shared" ref="D313:S313" si="268">$B313/HLOOKUP(D$305,INDIRECT(CONCATENATE("ChestValue", SUBSTITUTE($B$304," ",""))),7,FALSE)</f>
        <v>247.6731298</v>
      </c>
      <c r="E313" s="176">
        <f t="shared" si="268"/>
        <v>224.8158886</v>
      </c>
      <c r="F313" s="176">
        <f t="shared" si="268"/>
        <v>205.2424976</v>
      </c>
      <c r="G313" s="176">
        <f t="shared" si="268"/>
        <v>189.048851</v>
      </c>
      <c r="H313" s="176">
        <f t="shared" si="268"/>
        <v>175.2236903</v>
      </c>
      <c r="I313" s="176">
        <f t="shared" si="268"/>
        <v>163.2828031</v>
      </c>
      <c r="J313" s="177">
        <f t="shared" si="268"/>
        <v>148.2599575</v>
      </c>
      <c r="K313" s="177">
        <f t="shared" si="268"/>
        <v>135.7685616</v>
      </c>
      <c r="L313" s="177">
        <f t="shared" si="268"/>
        <v>125.2184865</v>
      </c>
      <c r="M313" s="177">
        <f t="shared" si="268"/>
        <v>116.1898045</v>
      </c>
      <c r="N313" s="177">
        <f t="shared" si="268"/>
        <v>108.3755556</v>
      </c>
      <c r="O313" s="164">
        <f t="shared" si="268"/>
        <v>881.575132</v>
      </c>
      <c r="P313" s="164">
        <f t="shared" si="268"/>
        <v>573.8208998</v>
      </c>
      <c r="Q313" s="164">
        <f t="shared" si="268"/>
        <v>425.3373797</v>
      </c>
      <c r="R313" s="164">
        <f t="shared" si="268"/>
        <v>337.9011277</v>
      </c>
      <c r="S313" s="164">
        <f t="shared" si="268"/>
        <v>280.2834844</v>
      </c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67">
        <v>214.0</v>
      </c>
      <c r="C314" s="168" t="s">
        <v>60</v>
      </c>
      <c r="D314" s="178">
        <f t="shared" ref="D314:S314" si="269">$B314/HLOOKUP(D$305,INDIRECT(CONCATENATE("ChestValue", SUBSTITUTE($B$304," ",""))),7,FALSE)</f>
        <v>337.5926738</v>
      </c>
      <c r="E314" s="174">
        <f t="shared" si="269"/>
        <v>306.4369437</v>
      </c>
      <c r="F314" s="174">
        <f t="shared" si="269"/>
        <v>279.7572897</v>
      </c>
      <c r="G314" s="174">
        <f t="shared" si="269"/>
        <v>257.6844211</v>
      </c>
      <c r="H314" s="174">
        <f t="shared" si="269"/>
        <v>238.8399345</v>
      </c>
      <c r="I314" s="174">
        <f t="shared" si="269"/>
        <v>222.5638208</v>
      </c>
      <c r="J314" s="175">
        <f t="shared" si="269"/>
        <v>202.0868211</v>
      </c>
      <c r="K314" s="175">
        <f t="shared" si="269"/>
        <v>185.0603324</v>
      </c>
      <c r="L314" s="175">
        <f t="shared" si="269"/>
        <v>170.6799752</v>
      </c>
      <c r="M314" s="175">
        <f t="shared" si="269"/>
        <v>158.3733641</v>
      </c>
      <c r="N314" s="175">
        <f t="shared" si="269"/>
        <v>147.7220949</v>
      </c>
      <c r="O314" s="159">
        <f t="shared" si="269"/>
        <v>1201.637441</v>
      </c>
      <c r="P314" s="159">
        <f t="shared" si="269"/>
        <v>782.1507806</v>
      </c>
      <c r="Q314" s="159">
        <f t="shared" si="269"/>
        <v>579.759231</v>
      </c>
      <c r="R314" s="159">
        <f t="shared" si="269"/>
        <v>460.5786071</v>
      </c>
      <c r="S314" s="159">
        <f t="shared" si="269"/>
        <v>382.0424565</v>
      </c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67">
        <v>271.0</v>
      </c>
      <c r="C315" s="168" t="s">
        <v>61</v>
      </c>
      <c r="D315" s="179">
        <f t="shared" ref="D315:S315" si="270">$B315/HLOOKUP(D$305,INDIRECT(CONCATENATE("ChestValue", SUBSTITUTE($B$304," ",""))),7,FALSE)</f>
        <v>427.5122178</v>
      </c>
      <c r="E315" s="176">
        <f t="shared" si="270"/>
        <v>388.0579987</v>
      </c>
      <c r="F315" s="176">
        <f t="shared" si="270"/>
        <v>354.2720818</v>
      </c>
      <c r="G315" s="176">
        <f t="shared" si="270"/>
        <v>326.3199912</v>
      </c>
      <c r="H315" s="176">
        <f t="shared" si="270"/>
        <v>302.4561787</v>
      </c>
      <c r="I315" s="176">
        <f t="shared" si="270"/>
        <v>281.8448385</v>
      </c>
      <c r="J315" s="177">
        <f t="shared" si="270"/>
        <v>255.9136846</v>
      </c>
      <c r="K315" s="177">
        <f t="shared" si="270"/>
        <v>234.3521032</v>
      </c>
      <c r="L315" s="177">
        <f t="shared" si="270"/>
        <v>216.141464</v>
      </c>
      <c r="M315" s="177">
        <f t="shared" si="270"/>
        <v>200.5569237</v>
      </c>
      <c r="N315" s="177">
        <f t="shared" si="270"/>
        <v>187.0686342</v>
      </c>
      <c r="O315" s="164">
        <f t="shared" si="270"/>
        <v>1521.69975</v>
      </c>
      <c r="P315" s="164">
        <f t="shared" si="270"/>
        <v>990.4806614</v>
      </c>
      <c r="Q315" s="164">
        <f t="shared" si="270"/>
        <v>734.1810822</v>
      </c>
      <c r="R315" s="164">
        <f t="shared" si="270"/>
        <v>583.2560866</v>
      </c>
      <c r="S315" s="164">
        <f t="shared" si="270"/>
        <v>483.8014285</v>
      </c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69">
        <v>571.0</v>
      </c>
      <c r="C316" s="170" t="s">
        <v>32</v>
      </c>
      <c r="D316" s="178">
        <f t="shared" ref="D316:S316" si="271">$B316/HLOOKUP(D$305,INDIRECT(CONCATENATE("ChestValue", SUBSTITUTE($B$304," ",""))),7,FALSE)</f>
        <v>900.7729754</v>
      </c>
      <c r="E316" s="174">
        <f t="shared" si="271"/>
        <v>817.6424992</v>
      </c>
      <c r="F316" s="174">
        <f t="shared" si="271"/>
        <v>746.4551982</v>
      </c>
      <c r="G316" s="174">
        <f t="shared" si="271"/>
        <v>687.5598339</v>
      </c>
      <c r="H316" s="174">
        <f t="shared" si="271"/>
        <v>637.2785168</v>
      </c>
      <c r="I316" s="174">
        <f t="shared" si="271"/>
        <v>593.8501948</v>
      </c>
      <c r="J316" s="175">
        <f t="shared" si="271"/>
        <v>539.2129665</v>
      </c>
      <c r="K316" s="175">
        <f t="shared" si="271"/>
        <v>493.7824757</v>
      </c>
      <c r="L316" s="175">
        <f t="shared" si="271"/>
        <v>455.4124573</v>
      </c>
      <c r="M316" s="175">
        <f t="shared" si="271"/>
        <v>422.5756585</v>
      </c>
      <c r="N316" s="175">
        <f t="shared" si="271"/>
        <v>394.1556831</v>
      </c>
      <c r="O316" s="159">
        <f t="shared" si="271"/>
        <v>3206.238219</v>
      </c>
      <c r="P316" s="159">
        <f t="shared" si="271"/>
        <v>2086.953718</v>
      </c>
      <c r="Q316" s="159">
        <f t="shared" si="271"/>
        <v>1546.927668</v>
      </c>
      <c r="R316" s="159">
        <f t="shared" si="271"/>
        <v>1228.927031</v>
      </c>
      <c r="S316" s="159">
        <f t="shared" si="271"/>
        <v>1019.374966</v>
      </c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69">
        <v>871.0</v>
      </c>
      <c r="C317" s="170" t="s">
        <v>62</v>
      </c>
      <c r="D317" s="179">
        <f t="shared" ref="D317:S317" si="272">$B317/HLOOKUP(D$305,INDIRECT(CONCATENATE("ChestValue", SUBSTITUTE($B$304," ",""))),7,FALSE)</f>
        <v>1374.033733</v>
      </c>
      <c r="E317" s="176">
        <f t="shared" si="272"/>
        <v>1247.227</v>
      </c>
      <c r="F317" s="176">
        <f t="shared" si="272"/>
        <v>1138.638315</v>
      </c>
      <c r="G317" s="176">
        <f t="shared" si="272"/>
        <v>1048.799677</v>
      </c>
      <c r="H317" s="176">
        <f t="shared" si="272"/>
        <v>972.1008549</v>
      </c>
      <c r="I317" s="176">
        <f t="shared" si="272"/>
        <v>905.855551</v>
      </c>
      <c r="J317" s="177">
        <f t="shared" si="272"/>
        <v>822.5122484</v>
      </c>
      <c r="K317" s="177">
        <f t="shared" si="272"/>
        <v>753.2128483</v>
      </c>
      <c r="L317" s="177">
        <f t="shared" si="272"/>
        <v>694.6834506</v>
      </c>
      <c r="M317" s="177">
        <f t="shared" si="272"/>
        <v>644.5943933</v>
      </c>
      <c r="N317" s="177">
        <f t="shared" si="272"/>
        <v>601.242732</v>
      </c>
      <c r="O317" s="164">
        <f t="shared" si="272"/>
        <v>4890.776688</v>
      </c>
      <c r="P317" s="164">
        <f t="shared" si="272"/>
        <v>3183.426775</v>
      </c>
      <c r="Q317" s="164">
        <f t="shared" si="272"/>
        <v>2359.674253</v>
      </c>
      <c r="R317" s="164">
        <f t="shared" si="272"/>
        <v>1874.597976</v>
      </c>
      <c r="S317" s="164">
        <f t="shared" si="272"/>
        <v>1554.948503</v>
      </c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69">
        <v>1171.0</v>
      </c>
      <c r="C318" s="170" t="s">
        <v>63</v>
      </c>
      <c r="D318" s="178">
        <f t="shared" ref="D318:S318" si="273">$B318/HLOOKUP(D$305,INDIRECT(CONCATENATE("ChestValue", SUBSTITUTE($B$304," ",""))),7,FALSE)</f>
        <v>1847.294491</v>
      </c>
      <c r="E318" s="174">
        <f t="shared" si="273"/>
        <v>1676.8115</v>
      </c>
      <c r="F318" s="174">
        <f t="shared" si="273"/>
        <v>1530.821431</v>
      </c>
      <c r="G318" s="174">
        <f t="shared" si="273"/>
        <v>1410.039519</v>
      </c>
      <c r="H318" s="174">
        <f t="shared" si="273"/>
        <v>1306.923193</v>
      </c>
      <c r="I318" s="174">
        <f t="shared" si="273"/>
        <v>1217.860907</v>
      </c>
      <c r="J318" s="175">
        <f t="shared" si="273"/>
        <v>1105.81153</v>
      </c>
      <c r="K318" s="175">
        <f t="shared" si="273"/>
        <v>1012.643221</v>
      </c>
      <c r="L318" s="175">
        <f t="shared" si="273"/>
        <v>933.954444</v>
      </c>
      <c r="M318" s="175">
        <f t="shared" si="273"/>
        <v>866.6131281</v>
      </c>
      <c r="N318" s="175">
        <f t="shared" si="273"/>
        <v>808.3297809</v>
      </c>
      <c r="O318" s="159">
        <f t="shared" si="273"/>
        <v>6575.315157</v>
      </c>
      <c r="P318" s="159">
        <f t="shared" si="273"/>
        <v>4279.899832</v>
      </c>
      <c r="Q318" s="159">
        <f t="shared" si="273"/>
        <v>3172.420839</v>
      </c>
      <c r="R318" s="159">
        <f t="shared" si="273"/>
        <v>2520.26892</v>
      </c>
      <c r="S318" s="159">
        <f t="shared" si="273"/>
        <v>2090.52204</v>
      </c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69">
        <v>1471.0</v>
      </c>
      <c r="C319" s="170" t="s">
        <v>64</v>
      </c>
      <c r="D319" s="179">
        <f t="shared" ref="D319:S319" si="274">$B319/HLOOKUP(D$305,INDIRECT(CONCATENATE("ChestValue", SUBSTITUTE($B$304," ",""))),7,FALSE)</f>
        <v>2320.555248</v>
      </c>
      <c r="E319" s="176">
        <f t="shared" si="274"/>
        <v>2106.396001</v>
      </c>
      <c r="F319" s="176">
        <f t="shared" si="274"/>
        <v>1923.004548</v>
      </c>
      <c r="G319" s="176">
        <f t="shared" si="274"/>
        <v>1771.279362</v>
      </c>
      <c r="H319" s="176">
        <f t="shared" si="274"/>
        <v>1641.745531</v>
      </c>
      <c r="I319" s="176">
        <f t="shared" si="274"/>
        <v>1529.866264</v>
      </c>
      <c r="J319" s="177">
        <f t="shared" si="274"/>
        <v>1389.110812</v>
      </c>
      <c r="K319" s="177">
        <f t="shared" si="274"/>
        <v>1272.073593</v>
      </c>
      <c r="L319" s="177">
        <f t="shared" si="274"/>
        <v>1173.225437</v>
      </c>
      <c r="M319" s="177">
        <f t="shared" si="274"/>
        <v>1088.631863</v>
      </c>
      <c r="N319" s="177">
        <f t="shared" si="274"/>
        <v>1015.41683</v>
      </c>
      <c r="O319" s="164">
        <f t="shared" si="274"/>
        <v>8259.853625</v>
      </c>
      <c r="P319" s="164">
        <f t="shared" si="274"/>
        <v>5376.372889</v>
      </c>
      <c r="Q319" s="164">
        <f t="shared" si="274"/>
        <v>3985.167424</v>
      </c>
      <c r="R319" s="164">
        <f t="shared" si="274"/>
        <v>3165.939865</v>
      </c>
      <c r="S319" s="164">
        <f t="shared" si="274"/>
        <v>2626.095577</v>
      </c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69">
        <v>1771.0</v>
      </c>
      <c r="C320" s="170" t="s">
        <v>65</v>
      </c>
      <c r="D320" s="178">
        <f t="shared" ref="D320:S320" si="275">$B320/HLOOKUP(D$305,INDIRECT(CONCATENATE("ChestValue", SUBSTITUTE($B$304," ",""))),7,FALSE)</f>
        <v>2793.816006</v>
      </c>
      <c r="E320" s="174">
        <f t="shared" si="275"/>
        <v>2535.980501</v>
      </c>
      <c r="F320" s="174">
        <f t="shared" si="275"/>
        <v>2315.187664</v>
      </c>
      <c r="G320" s="174">
        <f t="shared" si="275"/>
        <v>2132.519204</v>
      </c>
      <c r="H320" s="174">
        <f t="shared" si="275"/>
        <v>1976.567869</v>
      </c>
      <c r="I320" s="174">
        <f t="shared" si="275"/>
        <v>1841.87162</v>
      </c>
      <c r="J320" s="175">
        <f t="shared" si="275"/>
        <v>1672.410094</v>
      </c>
      <c r="K320" s="175">
        <f t="shared" si="275"/>
        <v>1531.503966</v>
      </c>
      <c r="L320" s="175">
        <f t="shared" si="275"/>
        <v>1412.496431</v>
      </c>
      <c r="M320" s="175">
        <f t="shared" si="275"/>
        <v>1310.650598</v>
      </c>
      <c r="N320" s="175">
        <f t="shared" si="275"/>
        <v>1222.503879</v>
      </c>
      <c r="O320" s="159">
        <f t="shared" si="275"/>
        <v>9944.392094</v>
      </c>
      <c r="P320" s="159">
        <f t="shared" si="275"/>
        <v>6472.845946</v>
      </c>
      <c r="Q320" s="159">
        <f t="shared" si="275"/>
        <v>4797.91401</v>
      </c>
      <c r="R320" s="159">
        <f t="shared" si="275"/>
        <v>3811.610809</v>
      </c>
      <c r="S320" s="159">
        <f t="shared" si="275"/>
        <v>3161.669114</v>
      </c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71">
        <v>3484.0</v>
      </c>
      <c r="C321" s="172" t="s">
        <v>33</v>
      </c>
      <c r="D321" s="179">
        <f t="shared" ref="D321:S321" si="276">$B321/HLOOKUP(D$305,INDIRECT(CONCATENATE("ChestValue", SUBSTITUTE($B$304," ",""))),7,FALSE)</f>
        <v>5496.134932</v>
      </c>
      <c r="E321" s="176">
        <f t="shared" si="276"/>
        <v>4988.907999</v>
      </c>
      <c r="F321" s="176">
        <f t="shared" si="276"/>
        <v>4554.553259</v>
      </c>
      <c r="G321" s="176">
        <f t="shared" si="276"/>
        <v>4195.198706</v>
      </c>
      <c r="H321" s="176">
        <f t="shared" si="276"/>
        <v>3888.40342</v>
      </c>
      <c r="I321" s="176">
        <f t="shared" si="276"/>
        <v>3623.422204</v>
      </c>
      <c r="J321" s="177">
        <f t="shared" si="276"/>
        <v>3290.048994</v>
      </c>
      <c r="K321" s="177">
        <f t="shared" si="276"/>
        <v>3012.851393</v>
      </c>
      <c r="L321" s="177">
        <f t="shared" si="276"/>
        <v>2778.733803</v>
      </c>
      <c r="M321" s="177">
        <f t="shared" si="276"/>
        <v>2578.377573</v>
      </c>
      <c r="N321" s="177">
        <f t="shared" si="276"/>
        <v>2404.970928</v>
      </c>
      <c r="O321" s="164">
        <f t="shared" si="276"/>
        <v>19563.10675</v>
      </c>
      <c r="P321" s="164">
        <f t="shared" si="276"/>
        <v>12733.7071</v>
      </c>
      <c r="Q321" s="164">
        <f t="shared" si="276"/>
        <v>9438.697013</v>
      </c>
      <c r="R321" s="164">
        <f t="shared" si="276"/>
        <v>7498.391903</v>
      </c>
      <c r="S321" s="164">
        <f t="shared" si="276"/>
        <v>6219.794011</v>
      </c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71">
        <v>5197.0</v>
      </c>
      <c r="C322" s="172" t="s">
        <v>66</v>
      </c>
      <c r="D322" s="178">
        <f t="shared" ref="D322:S322" si="277">$B322/HLOOKUP(D$305,INDIRECT(CONCATENATE("ChestValue", SUBSTITUTE($B$304," ",""))),7,FALSE)</f>
        <v>8198.453859</v>
      </c>
      <c r="E322" s="174">
        <f t="shared" si="277"/>
        <v>7441.835496</v>
      </c>
      <c r="F322" s="174">
        <f t="shared" si="277"/>
        <v>6793.918853</v>
      </c>
      <c r="G322" s="174">
        <f t="shared" si="277"/>
        <v>6257.878208</v>
      </c>
      <c r="H322" s="174">
        <f t="shared" si="277"/>
        <v>5800.23897</v>
      </c>
      <c r="I322" s="174">
        <f t="shared" si="277"/>
        <v>5404.972788</v>
      </c>
      <c r="J322" s="175">
        <f t="shared" si="277"/>
        <v>4907.687893</v>
      </c>
      <c r="K322" s="175">
        <f t="shared" si="277"/>
        <v>4494.19882</v>
      </c>
      <c r="L322" s="175">
        <f t="shared" si="277"/>
        <v>4144.971174</v>
      </c>
      <c r="M322" s="175">
        <f t="shared" si="277"/>
        <v>3846.104549</v>
      </c>
      <c r="N322" s="175">
        <f t="shared" si="277"/>
        <v>3587.437977</v>
      </c>
      <c r="O322" s="159">
        <f t="shared" si="277"/>
        <v>29181.82141</v>
      </c>
      <c r="P322" s="159">
        <f t="shared" si="277"/>
        <v>18994.56825</v>
      </c>
      <c r="Q322" s="159">
        <f t="shared" si="277"/>
        <v>14079.48002</v>
      </c>
      <c r="R322" s="159">
        <f t="shared" si="277"/>
        <v>11185.173</v>
      </c>
      <c r="S322" s="159">
        <f t="shared" si="277"/>
        <v>9277.918908</v>
      </c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71">
        <v>6910.0</v>
      </c>
      <c r="C323" s="172" t="s">
        <v>67</v>
      </c>
      <c r="D323" s="179">
        <f t="shared" ref="D323:S323" si="278">$B323/HLOOKUP(D$305,INDIRECT(CONCATENATE("ChestValue", SUBSTITUTE($B$304," ",""))),7,FALSE)</f>
        <v>10900.77279</v>
      </c>
      <c r="E323" s="176">
        <f t="shared" si="278"/>
        <v>9894.762994</v>
      </c>
      <c r="F323" s="176">
        <f t="shared" si="278"/>
        <v>9033.284448</v>
      </c>
      <c r="G323" s="176">
        <f t="shared" si="278"/>
        <v>8320.557709</v>
      </c>
      <c r="H323" s="176">
        <f t="shared" si="278"/>
        <v>7712.074521</v>
      </c>
      <c r="I323" s="176">
        <f t="shared" si="278"/>
        <v>7186.523373</v>
      </c>
      <c r="J323" s="177">
        <f t="shared" si="278"/>
        <v>6525.326793</v>
      </c>
      <c r="K323" s="177">
        <f t="shared" si="278"/>
        <v>5975.546247</v>
      </c>
      <c r="L323" s="177">
        <f t="shared" si="278"/>
        <v>5511.208546</v>
      </c>
      <c r="M323" s="177">
        <f t="shared" si="278"/>
        <v>5113.831524</v>
      </c>
      <c r="N323" s="177">
        <f t="shared" si="278"/>
        <v>4769.905026</v>
      </c>
      <c r="O323" s="164">
        <f t="shared" si="278"/>
        <v>38800.53606</v>
      </c>
      <c r="P323" s="164">
        <f t="shared" si="278"/>
        <v>25255.42941</v>
      </c>
      <c r="Q323" s="164">
        <f t="shared" si="278"/>
        <v>18720.26302</v>
      </c>
      <c r="R323" s="164">
        <f t="shared" si="278"/>
        <v>14871.95409</v>
      </c>
      <c r="S323" s="164">
        <f t="shared" si="278"/>
        <v>12336.0438</v>
      </c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71">
        <v>8623.0</v>
      </c>
      <c r="C324" s="172" t="s">
        <v>68</v>
      </c>
      <c r="D324" s="178">
        <f t="shared" ref="D324:S324" si="279">$B324/HLOOKUP(D$305,INDIRECT(CONCATENATE("ChestValue", SUBSTITUTE($B$304," ",""))),7,FALSE)</f>
        <v>13603.09171</v>
      </c>
      <c r="E324" s="174">
        <f t="shared" si="279"/>
        <v>12347.69049</v>
      </c>
      <c r="F324" s="174">
        <f t="shared" si="279"/>
        <v>11272.65004</v>
      </c>
      <c r="G324" s="174">
        <f t="shared" si="279"/>
        <v>10383.23721</v>
      </c>
      <c r="H324" s="174">
        <f t="shared" si="279"/>
        <v>9623.910071</v>
      </c>
      <c r="I324" s="174">
        <f t="shared" si="279"/>
        <v>8968.073957</v>
      </c>
      <c r="J324" s="175">
        <f t="shared" si="279"/>
        <v>8142.965693</v>
      </c>
      <c r="K324" s="175">
        <f t="shared" si="279"/>
        <v>7456.893675</v>
      </c>
      <c r="L324" s="175">
        <f t="shared" si="279"/>
        <v>6877.445918</v>
      </c>
      <c r="M324" s="175">
        <f t="shared" si="279"/>
        <v>6381.5585</v>
      </c>
      <c r="N324" s="175">
        <f t="shared" si="279"/>
        <v>5952.372075</v>
      </c>
      <c r="O324" s="159">
        <f t="shared" si="279"/>
        <v>48419.25072</v>
      </c>
      <c r="P324" s="159">
        <f t="shared" si="279"/>
        <v>31516.29056</v>
      </c>
      <c r="Q324" s="159">
        <f t="shared" si="279"/>
        <v>23361.04602</v>
      </c>
      <c r="R324" s="159">
        <f t="shared" si="279"/>
        <v>18558.73518</v>
      </c>
      <c r="S324" s="159">
        <f t="shared" si="279"/>
        <v>15394.1687</v>
      </c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71">
        <v>10336.0</v>
      </c>
      <c r="C325" s="172" t="s">
        <v>69</v>
      </c>
      <c r="D325" s="179">
        <f t="shared" ref="D325:S325" si="280">$B325/HLOOKUP(D$305,INDIRECT(CONCATENATE("ChestValue", SUBSTITUTE($B$304," ",""))),7,FALSE)</f>
        <v>16305.41064</v>
      </c>
      <c r="E325" s="176">
        <f t="shared" si="280"/>
        <v>14800.61799</v>
      </c>
      <c r="F325" s="176">
        <f t="shared" si="280"/>
        <v>13512.01564</v>
      </c>
      <c r="G325" s="176">
        <f t="shared" si="280"/>
        <v>12445.91671</v>
      </c>
      <c r="H325" s="176">
        <f t="shared" si="280"/>
        <v>11535.74562</v>
      </c>
      <c r="I325" s="176">
        <f t="shared" si="280"/>
        <v>10749.62454</v>
      </c>
      <c r="J325" s="177">
        <f t="shared" si="280"/>
        <v>9760.604592</v>
      </c>
      <c r="K325" s="177">
        <f t="shared" si="280"/>
        <v>8938.241102</v>
      </c>
      <c r="L325" s="177">
        <f t="shared" si="280"/>
        <v>8243.68329</v>
      </c>
      <c r="M325" s="177">
        <f t="shared" si="280"/>
        <v>7649.285475</v>
      </c>
      <c r="N325" s="177">
        <f t="shared" si="280"/>
        <v>7134.839125</v>
      </c>
      <c r="O325" s="164">
        <f t="shared" si="280"/>
        <v>58037.96538</v>
      </c>
      <c r="P325" s="164">
        <f t="shared" si="280"/>
        <v>37777.15172</v>
      </c>
      <c r="Q325" s="164">
        <f t="shared" si="280"/>
        <v>28001.82903</v>
      </c>
      <c r="R325" s="164">
        <f t="shared" si="280"/>
        <v>22245.51628</v>
      </c>
      <c r="S325" s="164">
        <f t="shared" si="280"/>
        <v>18452.2936</v>
      </c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71">
        <v>12049.0</v>
      </c>
      <c r="C326" s="172" t="s">
        <v>70</v>
      </c>
      <c r="D326" s="178">
        <f t="shared" ref="D326:S326" si="281">$B326/HLOOKUP(D$305,INDIRECT(CONCATENATE("ChestValue", SUBSTITUTE($B$304," ",""))),7,FALSE)</f>
        <v>19007.72956</v>
      </c>
      <c r="E326" s="174">
        <f t="shared" si="281"/>
        <v>17253.54549</v>
      </c>
      <c r="F326" s="174">
        <f t="shared" si="281"/>
        <v>15751.38123</v>
      </c>
      <c r="G326" s="174">
        <f t="shared" si="281"/>
        <v>14508.59621</v>
      </c>
      <c r="H326" s="174">
        <f t="shared" si="281"/>
        <v>13447.58117</v>
      </c>
      <c r="I326" s="174">
        <f t="shared" si="281"/>
        <v>12531.17513</v>
      </c>
      <c r="J326" s="175">
        <f t="shared" si="281"/>
        <v>11378.24349</v>
      </c>
      <c r="K326" s="175">
        <f t="shared" si="281"/>
        <v>10419.58853</v>
      </c>
      <c r="L326" s="175">
        <f t="shared" si="281"/>
        <v>9609.920662</v>
      </c>
      <c r="M326" s="175">
        <f t="shared" si="281"/>
        <v>8917.012451</v>
      </c>
      <c r="N326" s="175">
        <f t="shared" si="281"/>
        <v>8317.306174</v>
      </c>
      <c r="O326" s="159">
        <f t="shared" si="281"/>
        <v>67656.68003</v>
      </c>
      <c r="P326" s="159">
        <f t="shared" si="281"/>
        <v>44038.01287</v>
      </c>
      <c r="Q326" s="159">
        <f t="shared" si="281"/>
        <v>32642.61203</v>
      </c>
      <c r="R326" s="159">
        <f t="shared" si="281"/>
        <v>25932.29737</v>
      </c>
      <c r="S326" s="159">
        <f t="shared" si="281"/>
        <v>21510.4185</v>
      </c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</sheetData>
  <mergeCells count="216">
    <mergeCell ref="I23:J23"/>
    <mergeCell ref="I24:J24"/>
    <mergeCell ref="I25:J25"/>
    <mergeCell ref="I26:J26"/>
    <mergeCell ref="I29:J29"/>
    <mergeCell ref="I30:J30"/>
    <mergeCell ref="I31:J31"/>
    <mergeCell ref="I32:J32"/>
    <mergeCell ref="I33:J33"/>
    <mergeCell ref="I42:J42"/>
    <mergeCell ref="I43:J43"/>
    <mergeCell ref="I44:J44"/>
    <mergeCell ref="I45:J45"/>
    <mergeCell ref="I46:J46"/>
    <mergeCell ref="J55:N55"/>
    <mergeCell ref="O55:S55"/>
    <mergeCell ref="E64:I64"/>
    <mergeCell ref="J64:N64"/>
    <mergeCell ref="O64:S64"/>
    <mergeCell ref="I47:J47"/>
    <mergeCell ref="I48:J48"/>
    <mergeCell ref="I49:J49"/>
    <mergeCell ref="I50:J50"/>
    <mergeCell ref="I51:J51"/>
    <mergeCell ref="I52:J52"/>
    <mergeCell ref="E55:I55"/>
    <mergeCell ref="J91:N91"/>
    <mergeCell ref="O91:S91"/>
    <mergeCell ref="E73:I73"/>
    <mergeCell ref="J73:N73"/>
    <mergeCell ref="O73:S73"/>
    <mergeCell ref="E82:I82"/>
    <mergeCell ref="J82:N82"/>
    <mergeCell ref="O82:S82"/>
    <mergeCell ref="E91:I91"/>
    <mergeCell ref="B3:C3"/>
    <mergeCell ref="I3:J3"/>
    <mergeCell ref="B4:C4"/>
    <mergeCell ref="I4:J4"/>
    <mergeCell ref="B5:C5"/>
    <mergeCell ref="I5:J5"/>
    <mergeCell ref="I6:J6"/>
    <mergeCell ref="B6:C6"/>
    <mergeCell ref="B7:C7"/>
    <mergeCell ref="B8:C8"/>
    <mergeCell ref="B9:C9"/>
    <mergeCell ref="B10:C10"/>
    <mergeCell ref="B11:C11"/>
    <mergeCell ref="B12:C12"/>
    <mergeCell ref="I7:J7"/>
    <mergeCell ref="I8:J8"/>
    <mergeCell ref="I9:J9"/>
    <mergeCell ref="I10:J10"/>
    <mergeCell ref="I11:J11"/>
    <mergeCell ref="I12:J12"/>
    <mergeCell ref="I13:J13"/>
    <mergeCell ref="B13:C13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9:C29"/>
    <mergeCell ref="B30:C30"/>
    <mergeCell ref="I34:J34"/>
    <mergeCell ref="I35:J35"/>
    <mergeCell ref="I36:J36"/>
    <mergeCell ref="I37:J37"/>
    <mergeCell ref="I38:J38"/>
    <mergeCell ref="I39:J39"/>
    <mergeCell ref="I16:J16"/>
    <mergeCell ref="I17:J17"/>
    <mergeCell ref="I18:J18"/>
    <mergeCell ref="I19:J19"/>
    <mergeCell ref="I20:J20"/>
    <mergeCell ref="I21:J21"/>
    <mergeCell ref="I22:J2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5:C55"/>
    <mergeCell ref="B56:C56"/>
    <mergeCell ref="B57:C57"/>
    <mergeCell ref="B58:C58"/>
    <mergeCell ref="B59:C59"/>
    <mergeCell ref="B60:C60"/>
    <mergeCell ref="B61:C61"/>
    <mergeCell ref="B62:C62"/>
    <mergeCell ref="B64:C64"/>
    <mergeCell ref="B65:C65"/>
    <mergeCell ref="B66:C66"/>
    <mergeCell ref="B67:C67"/>
    <mergeCell ref="B68:C68"/>
    <mergeCell ref="B69:C69"/>
    <mergeCell ref="B70:C70"/>
    <mergeCell ref="B71:C71"/>
    <mergeCell ref="B73:C73"/>
    <mergeCell ref="B74:C74"/>
    <mergeCell ref="B75:C75"/>
    <mergeCell ref="B76:C76"/>
    <mergeCell ref="B77:C77"/>
    <mergeCell ref="B78:C78"/>
    <mergeCell ref="B79:C79"/>
    <mergeCell ref="B80:C80"/>
    <mergeCell ref="B82:C82"/>
    <mergeCell ref="B83:C83"/>
    <mergeCell ref="B84:C84"/>
    <mergeCell ref="B85:C85"/>
    <mergeCell ref="B86:C86"/>
    <mergeCell ref="J154:N154"/>
    <mergeCell ref="O154:S154"/>
    <mergeCell ref="B128:S128"/>
    <mergeCell ref="E129:I129"/>
    <mergeCell ref="J129:N129"/>
    <mergeCell ref="O129:S129"/>
    <mergeCell ref="B153:S153"/>
    <mergeCell ref="B154:C155"/>
    <mergeCell ref="E154:I154"/>
    <mergeCell ref="E204:I204"/>
    <mergeCell ref="J204:N204"/>
    <mergeCell ref="B178:S178"/>
    <mergeCell ref="B179:C180"/>
    <mergeCell ref="E179:I179"/>
    <mergeCell ref="J179:N179"/>
    <mergeCell ref="O179:S179"/>
    <mergeCell ref="B203:S203"/>
    <mergeCell ref="B204:C205"/>
    <mergeCell ref="O204:S204"/>
    <mergeCell ref="B228:S228"/>
    <mergeCell ref="B229:C230"/>
    <mergeCell ref="E229:I229"/>
    <mergeCell ref="J229:N229"/>
    <mergeCell ref="O229:S229"/>
    <mergeCell ref="B253:S253"/>
    <mergeCell ref="J279:N279"/>
    <mergeCell ref="O279:S279"/>
    <mergeCell ref="B303:S303"/>
    <mergeCell ref="B304:C305"/>
    <mergeCell ref="E304:I304"/>
    <mergeCell ref="J304:N304"/>
    <mergeCell ref="O304:S304"/>
    <mergeCell ref="B254:C255"/>
    <mergeCell ref="E254:I254"/>
    <mergeCell ref="J254:N254"/>
    <mergeCell ref="O254:S254"/>
    <mergeCell ref="B278:S278"/>
    <mergeCell ref="B279:C280"/>
    <mergeCell ref="E279:I279"/>
    <mergeCell ref="B95:C95"/>
    <mergeCell ref="B96:C96"/>
    <mergeCell ref="B97:C97"/>
    <mergeCell ref="B98:C98"/>
    <mergeCell ref="B100:C100"/>
    <mergeCell ref="E100:I100"/>
    <mergeCell ref="J100:N100"/>
    <mergeCell ref="O100:S100"/>
    <mergeCell ref="B87:C87"/>
    <mergeCell ref="B88:C88"/>
    <mergeCell ref="B89:C89"/>
    <mergeCell ref="B91:C91"/>
    <mergeCell ref="B92:C92"/>
    <mergeCell ref="B93:C93"/>
    <mergeCell ref="B94:C94"/>
    <mergeCell ref="B109:C109"/>
    <mergeCell ref="E109:I109"/>
    <mergeCell ref="J109:N109"/>
    <mergeCell ref="O109:S109"/>
    <mergeCell ref="B101:C101"/>
    <mergeCell ref="B102:C102"/>
    <mergeCell ref="B103:C103"/>
    <mergeCell ref="B104:C104"/>
    <mergeCell ref="B105:C105"/>
    <mergeCell ref="B106:C106"/>
    <mergeCell ref="B107:C107"/>
    <mergeCell ref="B118:C118"/>
    <mergeCell ref="E118:I118"/>
    <mergeCell ref="J118:N118"/>
    <mergeCell ref="O118:S118"/>
    <mergeCell ref="B110:C110"/>
    <mergeCell ref="B111:C111"/>
    <mergeCell ref="B112:C112"/>
    <mergeCell ref="B113:C113"/>
    <mergeCell ref="B114:C114"/>
    <mergeCell ref="B115:C115"/>
    <mergeCell ref="B116:C116"/>
    <mergeCell ref="B129:C130"/>
    <mergeCell ref="B119:C119"/>
    <mergeCell ref="B120:C120"/>
    <mergeCell ref="B121:C121"/>
    <mergeCell ref="B122:C122"/>
    <mergeCell ref="B123:C123"/>
    <mergeCell ref="B124:C124"/>
    <mergeCell ref="B125:C125"/>
  </mergeCells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